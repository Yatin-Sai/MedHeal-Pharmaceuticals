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llege\Upskilling\ESG_Project_1\Project_Solution\"/>
    </mc:Choice>
  </mc:AlternateContent>
  <xr:revisionPtr revIDLastSave="0" documentId="13_ncr:1_{DE85A5D6-23BB-4783-AEBA-EA07EF063B38}" xr6:coauthVersionLast="47" xr6:coauthVersionMax="47" xr10:uidLastSave="{00000000-0000-0000-0000-000000000000}"/>
  <bookViews>
    <workbookView xWindow="-108" yWindow="-108" windowWidth="23256" windowHeight="13896" firstSheet="4" activeTab="9" xr2:uid="{00000000-000D-0000-FFFF-FFFF00000000}"/>
  </bookViews>
  <sheets>
    <sheet name="S1 - Office" sheetId="1" r:id="rId1"/>
    <sheet name="M1 - Manufacturing" sheetId="2" r:id="rId2"/>
    <sheet name="RDW1 - RDW" sheetId="3" r:id="rId3"/>
    <sheet name="Vehicular" sheetId="4" r:id="rId4"/>
    <sheet name="Fugitive" sheetId="5" r:id="rId5"/>
    <sheet name="Scope 1 " sheetId="6" r:id="rId6"/>
    <sheet name="Waste - Hazardous" sheetId="7" r:id="rId7"/>
    <sheet name="Waste - Non Hazardous" sheetId="8" r:id="rId8"/>
    <sheet name="Overall Waste" sheetId="9" r:id="rId9"/>
    <sheet name="Sheet2" sheetId="11" r:id="rId10"/>
  </sheets>
  <definedNames>
    <definedName name="_xlnm._FilterDatabase" localSheetId="1" hidden="1">'M1 - Manufacturing'!$A$12:$O$239</definedName>
    <definedName name="_xlnm._FilterDatabase" localSheetId="2" hidden="1">'RDW1 - RDW'!$C$11:$N$250</definedName>
    <definedName name="_xlnm._FilterDatabase" localSheetId="0" hidden="1">'S1 - Office'!$B$9:$P$191</definedName>
    <definedName name="_xlnm._FilterDatabase" localSheetId="6" hidden="1">'Waste - Hazardous'!$A$9:$M$154</definedName>
    <definedName name="_xlnm._FilterDatabase" localSheetId="7" hidden="1">'Waste - Non Hazardous'!$A$9:$M$363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1" l="1"/>
  <c r="L18" i="9"/>
  <c r="S12" i="9" s="1"/>
  <c r="E9" i="9"/>
  <c r="L7" i="8"/>
  <c r="L6" i="8"/>
  <c r="L5" i="8"/>
  <c r="L4" i="8"/>
  <c r="L2" i="8"/>
  <c r="L6" i="7"/>
  <c r="L5" i="7"/>
  <c r="L4" i="7"/>
  <c r="L2" i="7"/>
  <c r="K11" i="6"/>
  <c r="C11" i="6"/>
  <c r="O10" i="1"/>
  <c r="K2" i="4"/>
  <c r="P10" i="3"/>
  <c r="O10" i="3"/>
  <c r="P10" i="1"/>
  <c r="K39" i="5"/>
  <c r="K38" i="5"/>
  <c r="K13" i="5"/>
  <c r="K14" i="5"/>
  <c r="G27" i="5"/>
  <c r="K27" i="5" s="1"/>
  <c r="G28" i="5"/>
  <c r="K28" i="5" s="1"/>
  <c r="G29" i="5"/>
  <c r="K29" i="5" s="1"/>
  <c r="G30" i="5"/>
  <c r="K30" i="5" s="1"/>
  <c r="G31" i="5"/>
  <c r="K31" i="5" s="1"/>
  <c r="G32" i="5"/>
  <c r="K32" i="5" s="1"/>
  <c r="G33" i="5"/>
  <c r="K33" i="5" s="1"/>
  <c r="G34" i="5"/>
  <c r="K34" i="5" s="1"/>
  <c r="G35" i="5"/>
  <c r="K35" i="5" s="1"/>
  <c r="G36" i="5"/>
  <c r="K36" i="5" s="1"/>
  <c r="G37" i="5"/>
  <c r="K37" i="5" s="1"/>
  <c r="G38" i="5"/>
  <c r="G39" i="5"/>
  <c r="G40" i="5"/>
  <c r="K40" i="5" s="1"/>
  <c r="G41" i="5"/>
  <c r="K41" i="5" s="1"/>
  <c r="G42" i="5"/>
  <c r="K42" i="5" s="1"/>
  <c r="G43" i="5"/>
  <c r="K43" i="5" s="1"/>
  <c r="G44" i="5"/>
  <c r="K44" i="5" s="1"/>
  <c r="G45" i="5"/>
  <c r="K45" i="5" s="1"/>
  <c r="G47" i="5"/>
  <c r="K47" i="5" s="1"/>
  <c r="G48" i="5"/>
  <c r="K48" i="5" s="1"/>
  <c r="G49" i="5"/>
  <c r="K49" i="5" s="1"/>
  <c r="G50" i="5"/>
  <c r="K50" i="5" s="1"/>
  <c r="G51" i="5"/>
  <c r="K51" i="5" s="1"/>
  <c r="G52" i="5"/>
  <c r="K52" i="5" s="1"/>
  <c r="G53" i="5"/>
  <c r="K53" i="5" s="1"/>
  <c r="G54" i="5"/>
  <c r="K54" i="5" s="1"/>
  <c r="G55" i="5"/>
  <c r="K55" i="5" s="1"/>
  <c r="G56" i="5"/>
  <c r="K56" i="5" s="1"/>
  <c r="G57" i="5"/>
  <c r="K57" i="5" s="1"/>
  <c r="G58" i="5"/>
  <c r="K58" i="5" s="1"/>
  <c r="G59" i="5"/>
  <c r="K59" i="5" s="1"/>
  <c r="G60" i="5"/>
  <c r="K60" i="5" s="1"/>
  <c r="G61" i="5"/>
  <c r="K61" i="5" s="1"/>
  <c r="G62" i="5"/>
  <c r="K62" i="5" s="1"/>
  <c r="G63" i="5"/>
  <c r="K63" i="5" s="1"/>
  <c r="G64" i="5"/>
  <c r="K64" i="5" s="1"/>
  <c r="G65" i="5"/>
  <c r="K65" i="5" s="1"/>
  <c r="G66" i="5"/>
  <c r="K66" i="5" s="1"/>
  <c r="G6" i="5"/>
  <c r="K6" i="5" s="1"/>
  <c r="G7" i="5"/>
  <c r="K7" i="5" s="1"/>
  <c r="G8" i="5"/>
  <c r="K8" i="5" s="1"/>
  <c r="G9" i="5"/>
  <c r="K9" i="5" s="1"/>
  <c r="G10" i="5"/>
  <c r="K10" i="5" s="1"/>
  <c r="G11" i="5"/>
  <c r="K11" i="5" s="1"/>
  <c r="G12" i="5"/>
  <c r="K12" i="5" s="1"/>
  <c r="G13" i="5"/>
  <c r="G14" i="5"/>
  <c r="G15" i="5"/>
  <c r="K15" i="5" s="1"/>
  <c r="G16" i="5"/>
  <c r="K16" i="5" s="1"/>
  <c r="G17" i="5"/>
  <c r="K17" i="5" s="1"/>
  <c r="G18" i="5"/>
  <c r="K18" i="5" s="1"/>
  <c r="G19" i="5"/>
  <c r="K19" i="5" s="1"/>
  <c r="G20" i="5"/>
  <c r="K20" i="5" s="1"/>
  <c r="G21" i="5"/>
  <c r="K21" i="5" s="1"/>
  <c r="G22" i="5"/>
  <c r="K22" i="5" s="1"/>
  <c r="G23" i="5"/>
  <c r="K23" i="5" s="1"/>
  <c r="G24" i="5"/>
  <c r="K24" i="5" s="1"/>
  <c r="G26" i="5"/>
  <c r="K26" i="5" s="1"/>
  <c r="G5" i="5"/>
  <c r="K5" i="5" s="1"/>
  <c r="I58" i="4"/>
  <c r="I57" i="4"/>
  <c r="I56" i="4"/>
  <c r="I55" i="4"/>
  <c r="I54" i="4"/>
  <c r="I53" i="4"/>
  <c r="I52" i="4"/>
  <c r="I50" i="4"/>
  <c r="I49" i="4"/>
  <c r="I48" i="4"/>
  <c r="I47" i="4"/>
  <c r="I46" i="4"/>
  <c r="I45" i="4"/>
  <c r="I44" i="4"/>
  <c r="I43" i="4"/>
  <c r="I42" i="4"/>
  <c r="I41" i="4"/>
  <c r="I40" i="4"/>
  <c r="I39" i="4"/>
  <c r="I36" i="4"/>
  <c r="I37" i="4"/>
  <c r="I35" i="4"/>
  <c r="I34" i="4"/>
  <c r="I33" i="4"/>
  <c r="I32" i="4"/>
  <c r="I31" i="4"/>
  <c r="I30" i="4"/>
  <c r="I29" i="4"/>
  <c r="I28" i="4"/>
  <c r="I27" i="4"/>
  <c r="I26" i="4"/>
  <c r="I24" i="4"/>
  <c r="I23" i="4"/>
  <c r="I22" i="4"/>
  <c r="I21" i="4"/>
  <c r="I20" i="4"/>
  <c r="I19" i="4"/>
  <c r="I18" i="4"/>
  <c r="I17" i="4"/>
  <c r="I16" i="4"/>
  <c r="I15" i="4"/>
  <c r="I7" i="4"/>
  <c r="I8" i="4"/>
  <c r="I9" i="4"/>
  <c r="I10" i="4"/>
  <c r="I11" i="4"/>
  <c r="I12" i="4"/>
  <c r="I13" i="4"/>
  <c r="I6" i="4"/>
  <c r="I5" i="4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O152" i="3" s="1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P52" i="3" s="1"/>
  <c r="J56" i="3"/>
  <c r="J55" i="3"/>
  <c r="J54" i="3"/>
  <c r="J53" i="3"/>
  <c r="J52" i="3"/>
  <c r="J50" i="3"/>
  <c r="J49" i="3"/>
  <c r="J48" i="3"/>
  <c r="J47" i="3"/>
  <c r="J46" i="3"/>
  <c r="J45" i="3"/>
  <c r="J44" i="3"/>
  <c r="J43" i="3"/>
  <c r="J42" i="3"/>
  <c r="J41" i="3"/>
  <c r="J40" i="3"/>
  <c r="P32" i="3" s="1"/>
  <c r="J39" i="3"/>
  <c r="J38" i="3"/>
  <c r="J37" i="3"/>
  <c r="J36" i="3"/>
  <c r="J35" i="3"/>
  <c r="J34" i="3"/>
  <c r="J33" i="3"/>
  <c r="J32" i="3"/>
  <c r="J13" i="3"/>
  <c r="J14" i="3"/>
  <c r="J15" i="3"/>
  <c r="J16" i="3"/>
  <c r="J17" i="3"/>
  <c r="P12" i="3" s="1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12" i="3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12" i="2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12" i="1"/>
  <c r="N2" i="5" l="1"/>
  <c r="O172" i="3"/>
  <c r="O192" i="3"/>
  <c r="O212" i="3"/>
  <c r="O232" i="3"/>
  <c r="O32" i="3"/>
  <c r="P232" i="3"/>
  <c r="O52" i="3"/>
  <c r="O72" i="3"/>
  <c r="O92" i="3"/>
  <c r="P192" i="3"/>
  <c r="O112" i="3"/>
  <c r="O132" i="3"/>
  <c r="P152" i="3"/>
  <c r="P112" i="3"/>
  <c r="P172" i="3"/>
  <c r="P132" i="3"/>
  <c r="P212" i="3"/>
  <c r="P72" i="3"/>
  <c r="P92" i="3"/>
  <c r="O12" i="2"/>
  <c r="O138" i="2"/>
  <c r="O120" i="2"/>
  <c r="O102" i="2"/>
  <c r="O84" i="2"/>
  <c r="O66" i="2"/>
  <c r="O30" i="2"/>
  <c r="O48" i="2"/>
  <c r="O174" i="2"/>
  <c r="O192" i="2"/>
  <c r="O156" i="2"/>
  <c r="O210" i="2"/>
  <c r="P156" i="2"/>
  <c r="P138" i="2"/>
  <c r="P120" i="2"/>
  <c r="P102" i="2"/>
  <c r="O12" i="1"/>
  <c r="O177" i="1"/>
  <c r="P117" i="1"/>
  <c r="O57" i="1"/>
  <c r="P42" i="1"/>
  <c r="O162" i="1"/>
  <c r="O87" i="1"/>
  <c r="P27" i="1"/>
  <c r="O42" i="1"/>
  <c r="O147" i="1"/>
  <c r="P12" i="1"/>
  <c r="O102" i="1"/>
  <c r="O117" i="1"/>
  <c r="O132" i="1"/>
  <c r="O72" i="1"/>
  <c r="O27" i="1"/>
  <c r="O12" i="3"/>
  <c r="P174" i="2"/>
  <c r="P177" i="1"/>
  <c r="P162" i="1"/>
  <c r="P147" i="1"/>
  <c r="P102" i="1"/>
  <c r="P30" i="2"/>
  <c r="P84" i="2"/>
  <c r="P66" i="2"/>
  <c r="P48" i="2"/>
  <c r="P12" i="2"/>
  <c r="P210" i="2"/>
  <c r="P192" i="2"/>
  <c r="P87" i="1"/>
  <c r="P72" i="1"/>
  <c r="P132" i="1"/>
  <c r="P57" i="1"/>
  <c r="O10" i="2" l="1"/>
  <c r="P10" i="2"/>
</calcChain>
</file>

<file path=xl/sharedStrings.xml><?xml version="1.0" encoding="utf-8"?>
<sst xmlns="http://schemas.openxmlformats.org/spreadsheetml/2006/main" count="11103" uniqueCount="235">
  <si>
    <t>Office</t>
  </si>
  <si>
    <t>Site 1</t>
  </si>
  <si>
    <t>January</t>
  </si>
  <si>
    <t>Natural Gas</t>
  </si>
  <si>
    <t>KWh</t>
  </si>
  <si>
    <t>Invoice</t>
  </si>
  <si>
    <t>Diesel Oil</t>
  </si>
  <si>
    <t>LPG</t>
  </si>
  <si>
    <t>Renewable electricity - Purchased</t>
  </si>
  <si>
    <t>Onsite meter reading</t>
  </si>
  <si>
    <t>Non-renewable electricity - Purchased</t>
  </si>
  <si>
    <t>Purchased steam</t>
  </si>
  <si>
    <t>Purchased chilled water</t>
  </si>
  <si>
    <t>Groundwater in</t>
  </si>
  <si>
    <t>m3</t>
  </si>
  <si>
    <t>Reading from SCADA</t>
  </si>
  <si>
    <t>Seawater in</t>
  </si>
  <si>
    <t>Reading from site meter</t>
  </si>
  <si>
    <t>Third-party water in</t>
  </si>
  <si>
    <t>Rainwater in</t>
  </si>
  <si>
    <t>Reading from meter</t>
  </si>
  <si>
    <t>Groundwater out</t>
  </si>
  <si>
    <t>Seawater out</t>
  </si>
  <si>
    <t>Third-party water out</t>
  </si>
  <si>
    <t>System info</t>
  </si>
  <si>
    <t xml:space="preserve">Company Name: </t>
  </si>
  <si>
    <t>Medheal pvt. Ltd</t>
  </si>
  <si>
    <t xml:space="preserve">Sytem Name: </t>
  </si>
  <si>
    <t>SustainPro</t>
  </si>
  <si>
    <t xml:space="preserve">Report extracted on: </t>
  </si>
  <si>
    <t xml:space="preserve">Place: </t>
  </si>
  <si>
    <t>Mumbai</t>
  </si>
  <si>
    <t>Time:</t>
  </si>
  <si>
    <t>18:31 pm</t>
  </si>
  <si>
    <t>Note:</t>
  </si>
  <si>
    <t>Water discharged after treatment is 84.5% of total water discharged</t>
  </si>
  <si>
    <t>Business Unit (BU)</t>
  </si>
  <si>
    <t>Site</t>
  </si>
  <si>
    <t>Year</t>
  </si>
  <si>
    <t>Month</t>
  </si>
  <si>
    <t>Indicator</t>
  </si>
  <si>
    <t>Reported Value</t>
  </si>
  <si>
    <t>Reported Unit</t>
  </si>
  <si>
    <t>Actual?</t>
  </si>
  <si>
    <t>Attachments</t>
  </si>
  <si>
    <t>Evidence type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</si>
  <si>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</si>
  <si>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</si>
  <si>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</si>
  <si>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</si>
  <si>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</si>
  <si>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</si>
  <si>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</si>
  <si>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</si>
  <si>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</si>
  <si>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</si>
  <si>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</si>
  <si>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Emission Factor</t>
  </si>
  <si>
    <r>
      <t>kg CO</t>
    </r>
    <r>
      <rPr>
        <vertAlign val="subscript"/>
        <sz val="11"/>
        <color indexed="56"/>
        <rFont val="Calibri"/>
        <family val="2"/>
      </rPr>
      <t>2</t>
    </r>
    <r>
      <rPr>
        <sz val="11"/>
        <color indexed="56"/>
        <rFont val="Calibri"/>
        <family val="2"/>
      </rPr>
      <t>e</t>
    </r>
  </si>
  <si>
    <t>Emissions</t>
  </si>
  <si>
    <t>Manufacturing</t>
  </si>
  <si>
    <t>Site 2</t>
  </si>
  <si>
    <t>Biomass</t>
  </si>
  <si>
    <t>Renewable electricity - Generated</t>
  </si>
  <si>
    <t>Reading from EMS</t>
  </si>
  <si>
    <t>Electricity - Exported</t>
  </si>
  <si>
    <t>Surface water in</t>
  </si>
  <si>
    <t>Surface water out</t>
  </si>
  <si>
    <t>Readig from SCADA</t>
  </si>
  <si>
    <t>RDW</t>
  </si>
  <si>
    <t>Site 8</t>
  </si>
  <si>
    <t>Vehicle Number</t>
  </si>
  <si>
    <t>Vehicle Model</t>
  </si>
  <si>
    <t>Vehicle Type</t>
  </si>
  <si>
    <t>Total KMs Run Annually</t>
  </si>
  <si>
    <t>Mileage (km/l)</t>
  </si>
  <si>
    <t>Emission Factor (kg CO2/km)</t>
  </si>
  <si>
    <t>VEH009</t>
  </si>
  <si>
    <t>Toyota Fortuner</t>
  </si>
  <si>
    <t>Diesel</t>
  </si>
  <si>
    <t>VEH014</t>
  </si>
  <si>
    <t>VEH025</t>
  </si>
  <si>
    <t>VEH027</t>
  </si>
  <si>
    <t>Mahindra Scorpio</t>
  </si>
  <si>
    <t>VEH031</t>
  </si>
  <si>
    <t>Hyundai Creta Diesel</t>
  </si>
  <si>
    <t>VEH034</t>
  </si>
  <si>
    <t>Tata Safari</t>
  </si>
  <si>
    <t>VEH035</t>
  </si>
  <si>
    <t>VEH048</t>
  </si>
  <si>
    <t>VEH049</t>
  </si>
  <si>
    <t>VEH003</t>
  </si>
  <si>
    <t>Maruti Suzuki Swift</t>
  </si>
  <si>
    <t>Petrol</t>
  </si>
  <si>
    <t>VEH008</t>
  </si>
  <si>
    <t>Kia Seltos</t>
  </si>
  <si>
    <t>VEH010</t>
  </si>
  <si>
    <t>Honda City</t>
  </si>
  <si>
    <t>VEH019</t>
  </si>
  <si>
    <t>Tata Altroz</t>
  </si>
  <si>
    <t>VEH028</t>
  </si>
  <si>
    <t>VEH032</t>
  </si>
  <si>
    <t>Hyundai i20</t>
  </si>
  <si>
    <t>VEH037</t>
  </si>
  <si>
    <t>VEH044</t>
  </si>
  <si>
    <t>VEH045</t>
  </si>
  <si>
    <t>VEH046</t>
  </si>
  <si>
    <t>VEH001</t>
  </si>
  <si>
    <t>Tesla Model 3</t>
  </si>
  <si>
    <t>BEV</t>
  </si>
  <si>
    <t>N/A</t>
  </si>
  <si>
    <t>VEH004</t>
  </si>
  <si>
    <t>Hyundai Kona EV</t>
  </si>
  <si>
    <t>VEH015</t>
  </si>
  <si>
    <t>VEH016</t>
  </si>
  <si>
    <t>VEH018</t>
  </si>
  <si>
    <t>Tata Nexon EV</t>
  </si>
  <si>
    <t>VEH020</t>
  </si>
  <si>
    <t>Nissan Leaf</t>
  </si>
  <si>
    <t>VEH021</t>
  </si>
  <si>
    <t>MG ZS EV</t>
  </si>
  <si>
    <t>VEH022</t>
  </si>
  <si>
    <t>VEH033</t>
  </si>
  <si>
    <t>VEH040</t>
  </si>
  <si>
    <t>VEH043</t>
  </si>
  <si>
    <t>VEH047</t>
  </si>
  <si>
    <t>VEH002</t>
  </si>
  <si>
    <t>Toyota Camry Hybrid</t>
  </si>
  <si>
    <t>HEV</t>
  </si>
  <si>
    <t>VEH005</t>
  </si>
  <si>
    <t>Hyundai Ioniq</t>
  </si>
  <si>
    <t>VEH007</t>
  </si>
  <si>
    <t>Kia Niro Hybrid</t>
  </si>
  <si>
    <t>VEH011</t>
  </si>
  <si>
    <t>VEH012</t>
  </si>
  <si>
    <t>VEH013</t>
  </si>
  <si>
    <t>VEH024</t>
  </si>
  <si>
    <t>VEH029</t>
  </si>
  <si>
    <t>VEH030</t>
  </si>
  <si>
    <t>VEH036</t>
  </si>
  <si>
    <t>Lexus RX Hybrid</t>
  </si>
  <si>
    <t>VEH041</t>
  </si>
  <si>
    <t>VEH050</t>
  </si>
  <si>
    <t>Honda Accord Hybrid</t>
  </si>
  <si>
    <t>VEH006</t>
  </si>
  <si>
    <t>Mitsubishi Outlander PHEV</t>
  </si>
  <si>
    <t>PHEV</t>
  </si>
  <si>
    <t>VEH017</t>
  </si>
  <si>
    <t>Volvo XC60 Recharge</t>
  </si>
  <si>
    <t>VEH023</t>
  </si>
  <si>
    <t>BMW 330e</t>
  </si>
  <si>
    <t>VEH026</t>
  </si>
  <si>
    <t>Toyota Prius Prime</t>
  </si>
  <si>
    <t>VEH038</t>
  </si>
  <si>
    <t>VEH039</t>
  </si>
  <si>
    <t>Ford Escape PHEV</t>
  </si>
  <si>
    <t>VEH042</t>
  </si>
  <si>
    <t>Refrigerant Type</t>
  </si>
  <si>
    <t>Inventory at Start (IB) (kg)</t>
  </si>
  <si>
    <t>Inventory at End (IE) (kg)</t>
  </si>
  <si>
    <t>Purchased Refrigerant (P) (kg)</t>
  </si>
  <si>
    <t>Sold/Recycled/Destroyed (S) (kg)</t>
  </si>
  <si>
    <t>Equipment Capacity at Start (CB) (kg)</t>
  </si>
  <si>
    <t>Equipment Capacity at End (CE) (kg)</t>
  </si>
  <si>
    <t>HFC-32</t>
  </si>
  <si>
    <t>HFC-41</t>
  </si>
  <si>
    <t>HFC-134a</t>
  </si>
  <si>
    <t>Used amount (kg)</t>
  </si>
  <si>
    <t>Scope 1 (NG, DO, LPG,TPWO)</t>
  </si>
  <si>
    <t>Scope 2 (REP,NREP,PS,PCW,TPWI)</t>
  </si>
  <si>
    <t>Scope 1 (NG, DO, LPG, B, EE, TPW)</t>
  </si>
  <si>
    <t>Scope 2 ( NRE, PCW, PS, TWI)</t>
  </si>
  <si>
    <t>Scope 1 (NG, DO, LPG, B, EE,TPWO)</t>
  </si>
  <si>
    <t>Scope 2 ( NREP, PS, PCW, TPWI)</t>
  </si>
  <si>
    <t>Total Emissions (Scope 1)</t>
  </si>
  <si>
    <r>
      <t>Emissions (kg CO</t>
    </r>
    <r>
      <rPr>
        <b/>
        <sz val="9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</t>
    </r>
  </si>
  <si>
    <t>S1</t>
  </si>
  <si>
    <t>M1</t>
  </si>
  <si>
    <t>RDW1</t>
  </si>
  <si>
    <t>Vehicular</t>
  </si>
  <si>
    <t>Fugitive</t>
  </si>
  <si>
    <t>Total Scope 1</t>
  </si>
  <si>
    <t>Total Scope 2</t>
  </si>
  <si>
    <t xml:space="preserve">Total = </t>
  </si>
  <si>
    <t xml:space="preserve">Date range </t>
  </si>
  <si>
    <t>01-01-2024 to 31-12-2025</t>
  </si>
  <si>
    <t>Business Unit</t>
  </si>
  <si>
    <t>Value</t>
  </si>
  <si>
    <t>Reporting Unit</t>
  </si>
  <si>
    <t>Hazardous?</t>
  </si>
  <si>
    <t>Type of treatment</t>
  </si>
  <si>
    <t>Comments</t>
  </si>
  <si>
    <t>E-waste</t>
  </si>
  <si>
    <t>Kg</t>
  </si>
  <si>
    <t>Waste transfer note</t>
  </si>
  <si>
    <t>Disposed to e-waste recycling service</t>
  </si>
  <si>
    <t>Biomedical waste</t>
  </si>
  <si>
    <t xml:space="preserve">Disposal - Incineration </t>
  </si>
  <si>
    <t>Battery waste</t>
  </si>
  <si>
    <t>Disposal - Third party</t>
  </si>
  <si>
    <t>Used oil and chemicals</t>
  </si>
  <si>
    <t>Construction and demolition waste</t>
  </si>
  <si>
    <t>Plastic</t>
  </si>
  <si>
    <t>Recycled</t>
  </si>
  <si>
    <t>Paper</t>
  </si>
  <si>
    <t>Reused</t>
  </si>
  <si>
    <t>Food waste</t>
  </si>
  <si>
    <t>Composted</t>
  </si>
  <si>
    <t xml:space="preserve">Cardboard </t>
  </si>
  <si>
    <t>Glass</t>
  </si>
  <si>
    <t>Metals</t>
  </si>
  <si>
    <t>Garden waste</t>
  </si>
  <si>
    <t>Wood</t>
  </si>
  <si>
    <t>Repurposed</t>
  </si>
  <si>
    <t>Cans - Aluminium</t>
  </si>
  <si>
    <t xml:space="preserve">Total Hazardous Waste </t>
  </si>
  <si>
    <t>Recyclable Waste</t>
  </si>
  <si>
    <t>Incinerated Waste</t>
  </si>
  <si>
    <t>Landfill Waste</t>
  </si>
  <si>
    <t>kg</t>
  </si>
  <si>
    <t xml:space="preserve">Total Non-Hazardous Waste </t>
  </si>
  <si>
    <t>Composted Waste</t>
  </si>
  <si>
    <t>Reused Waste</t>
  </si>
  <si>
    <t>Repurposed Waste</t>
  </si>
  <si>
    <t xml:space="preserve">Hazardous </t>
  </si>
  <si>
    <t>Non- Hazardous</t>
  </si>
  <si>
    <t>Recyclable</t>
  </si>
  <si>
    <t>Incinerated</t>
  </si>
  <si>
    <t>Landfill</t>
  </si>
  <si>
    <t xml:space="preserve">TOTAL WASTE SUMMARY </t>
  </si>
  <si>
    <t>Total</t>
  </si>
  <si>
    <t>Circulated Waste</t>
  </si>
  <si>
    <t>Circularity</t>
  </si>
  <si>
    <t>%</t>
  </si>
  <si>
    <t xml:space="preserve">Circularity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</si>
</sst>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vertAlign val="subscript"/>
      <sz val="11"/>
      <color indexed="56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56"/>
      <name val="Calibri"/>
      <family val="2"/>
    </font>
    <font>
      <sz val="10"/>
      <color theme="9" tint="-0.499984740745262"/>
      <name val="Arial"/>
      <family val="2"/>
    </font>
    <font>
      <i/>
      <sz val="10"/>
      <color rgb="FFFF0000"/>
      <name val="Arial"/>
      <family val="2"/>
    </font>
    <font>
      <u/>
      <sz val="10"/>
      <color theme="11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053D5F"/>
      </left>
      <right style="thin">
        <color rgb="FF053D5F"/>
      </right>
      <top style="thin">
        <color rgb="FF053D5F"/>
      </top>
      <bottom style="thin">
        <color rgb="FF053D5F"/>
      </bottom>
      <diagonal/>
    </border>
    <border>
      <left style="thin">
        <color rgb="FF053D5F"/>
      </left>
      <right style="thin">
        <color rgb="FF053D5F"/>
      </right>
      <top style="thin">
        <color rgb="FF053D5F"/>
      </top>
      <bottom style="thin">
        <color indexed="64"/>
      </bottom>
      <diagonal/>
    </border>
    <border>
      <left/>
      <right style="thin">
        <color rgb="FF053D5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53D5F"/>
      </left>
      <right/>
      <top style="thin">
        <color rgb="FF053D5F"/>
      </top>
      <bottom style="thin">
        <color rgb="FF053D5F"/>
      </bottom>
      <diagonal/>
    </border>
    <border>
      <left style="thin">
        <color rgb="FF053D5F"/>
      </left>
      <right/>
      <top style="thin">
        <color rgb="FF053D5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2" applyNumberFormat="0" applyAlignment="0" applyProtection="0"/>
    <xf numFmtId="0" fontId="8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9" fillId="0" borderId="0"/>
    <xf numFmtId="0" fontId="12" fillId="31" borderId="9" applyNumberFormat="0" applyAlignment="0" applyProtection="0"/>
    <xf numFmtId="0" fontId="15" fillId="32" borderId="10" applyNumberForma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2" fillId="33" borderId="1" applyNumberFormat="0" applyBorder="0" applyAlignment="0" applyProtection="0"/>
    <xf numFmtId="0" fontId="12" fillId="34" borderId="0">
      <alignment vertical="center"/>
    </xf>
    <xf numFmtId="0" fontId="12" fillId="35" borderId="11" applyNumberFormat="0" applyAlignment="0" applyProtection="0"/>
    <xf numFmtId="0" fontId="9" fillId="6" borderId="3" applyNumberFormat="0" applyFont="0" applyAlignment="0" applyProtection="0"/>
    <xf numFmtId="0" fontId="18" fillId="36" borderId="12" applyNumberFormat="0" applyAlignment="0" applyProtection="0"/>
    <xf numFmtId="9" fontId="19" fillId="0" borderId="0" applyFont="0" applyFill="0" applyBorder="0" applyAlignment="0" applyProtection="0"/>
    <xf numFmtId="0" fontId="12" fillId="37" borderId="13" applyNumberFormat="0" applyProtection="0">
      <alignment vertical="center"/>
    </xf>
    <xf numFmtId="0" fontId="18" fillId="38" borderId="0" applyNumberFormat="0" applyBorder="0" applyAlignment="0" applyProtection="0"/>
    <xf numFmtId="0" fontId="21" fillId="0" borderId="0">
      <alignment vertical="center" wrapText="1"/>
    </xf>
    <xf numFmtId="9" fontId="1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93">
    <xf numFmtId="0" fontId="0" fillId="0" borderId="0" xfId="0"/>
    <xf numFmtId="0" fontId="0" fillId="0" borderId="5" xfId="0" applyBorder="1"/>
    <xf numFmtId="14" fontId="0" fillId="0" borderId="5" xfId="0" applyNumberFormat="1" applyBorder="1"/>
    <xf numFmtId="0" fontId="7" fillId="0" borderId="6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0" xfId="0" applyFont="1" applyAlignment="1">
      <alignment horizontal="center"/>
    </xf>
    <xf numFmtId="164" fontId="20" fillId="0" borderId="14" xfId="0" applyNumberFormat="1" applyFont="1" applyBorder="1" applyAlignment="1">
      <alignment horizontal="center" vertical="center"/>
    </xf>
    <xf numFmtId="164" fontId="20" fillId="39" borderId="15" xfId="49" applyNumberFormat="1" applyFont="1" applyFill="1" applyBorder="1" applyAlignment="1">
      <alignment horizontal="center" wrapText="1"/>
    </xf>
    <xf numFmtId="0" fontId="20" fillId="39" borderId="0" xfId="49" applyFont="1" applyFill="1"/>
    <xf numFmtId="164" fontId="20" fillId="39" borderId="0" xfId="49" applyNumberFormat="1" applyFont="1" applyFill="1" applyAlignment="1">
      <alignment horizontal="center" wrapText="1"/>
    </xf>
    <xf numFmtId="164" fontId="20" fillId="0" borderId="14" xfId="30" applyNumberFormat="1" applyFont="1" applyBorder="1" applyAlignment="1">
      <alignment horizontal="center" vertical="center"/>
    </xf>
    <xf numFmtId="0" fontId="20" fillId="40" borderId="0" xfId="49" applyFont="1" applyFill="1"/>
    <xf numFmtId="0" fontId="20" fillId="40" borderId="14" xfId="49" applyFont="1" applyFill="1" applyBorder="1"/>
    <xf numFmtId="164" fontId="20" fillId="0" borderId="14" xfId="49" applyNumberFormat="1" applyFont="1" applyBorder="1" applyAlignment="1">
      <alignment horizontal="center"/>
    </xf>
    <xf numFmtId="0" fontId="20" fillId="40" borderId="15" xfId="49" applyFont="1" applyFill="1" applyBorder="1"/>
    <xf numFmtId="164" fontId="20" fillId="39" borderId="14" xfId="49" applyNumberFormat="1" applyFont="1" applyFill="1" applyBorder="1" applyAlignment="1">
      <alignment horizontal="center" wrapText="1"/>
    </xf>
    <xf numFmtId="0" fontId="0" fillId="0" borderId="6" xfId="0" applyBorder="1"/>
    <xf numFmtId="164" fontId="20" fillId="0" borderId="0" xfId="49" applyNumberFormat="1" applyFont="1" applyAlignment="1">
      <alignment horizontal="center"/>
    </xf>
    <xf numFmtId="164" fontId="20" fillId="0" borderId="16" xfId="49" applyNumberFormat="1" applyFont="1" applyBorder="1" applyAlignment="1">
      <alignment horizontal="center"/>
    </xf>
    <xf numFmtId="164" fontId="20" fillId="0" borderId="14" xfId="0" applyNumberFormat="1" applyFont="1" applyBorder="1" applyAlignment="1">
      <alignment horizontal="center"/>
    </xf>
    <xf numFmtId="164" fontId="20" fillId="0" borderId="16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top"/>
    </xf>
    <xf numFmtId="0" fontId="0" fillId="41" borderId="0" xfId="0" applyFill="1"/>
    <xf numFmtId="0" fontId="0" fillId="39" borderId="0" xfId="0" applyFill="1"/>
    <xf numFmtId="0" fontId="7" fillId="0" borderId="5" xfId="0" applyFont="1" applyBorder="1" applyAlignment="1">
      <alignment horizontal="center" vertical="top" wrapText="1"/>
    </xf>
    <xf numFmtId="0" fontId="7" fillId="41" borderId="5" xfId="0" applyFont="1" applyFill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8" xfId="0" applyFont="1" applyBorder="1"/>
    <xf numFmtId="0" fontId="7" fillId="0" borderId="0" xfId="0" applyFont="1"/>
    <xf numFmtId="0" fontId="0" fillId="38" borderId="0" xfId="0" applyFill="1"/>
    <xf numFmtId="0" fontId="0" fillId="42" borderId="0" xfId="0" applyFill="1"/>
    <xf numFmtId="0" fontId="0" fillId="39" borderId="5" xfId="0" applyFill="1" applyBorder="1"/>
    <xf numFmtId="0" fontId="0" fillId="39" borderId="6" xfId="0" applyFill="1" applyBorder="1"/>
    <xf numFmtId="164" fontId="20" fillId="39" borderId="14" xfId="0" applyNumberFormat="1" applyFont="1" applyFill="1" applyBorder="1" applyAlignment="1">
      <alignment horizontal="center" wrapText="1"/>
    </xf>
    <xf numFmtId="0" fontId="0" fillId="38" borderId="6" xfId="0" applyFill="1" applyBorder="1"/>
    <xf numFmtId="0" fontId="0" fillId="42" borderId="6" xfId="0" applyFill="1" applyBorder="1"/>
    <xf numFmtId="0" fontId="0" fillId="38" borderId="5" xfId="0" applyFill="1" applyBorder="1"/>
    <xf numFmtId="0" fontId="0" fillId="42" borderId="5" xfId="0" applyFill="1" applyBorder="1"/>
    <xf numFmtId="0" fontId="23" fillId="0" borderId="0" xfId="0" applyFont="1"/>
    <xf numFmtId="0" fontId="7" fillId="0" borderId="0" xfId="0" applyFont="1" applyAlignment="1">
      <alignment wrapText="1"/>
    </xf>
    <xf numFmtId="0" fontId="7" fillId="0" borderId="7" xfId="0" applyFont="1" applyBorder="1" applyAlignment="1">
      <alignment horizontal="center" vertical="center"/>
    </xf>
    <xf numFmtId="0" fontId="20" fillId="40" borderId="19" xfId="49" applyFont="1" applyFill="1" applyBorder="1"/>
    <xf numFmtId="0" fontId="20" fillId="40" borderId="20" xfId="49" applyFont="1" applyFill="1" applyBorder="1"/>
    <xf numFmtId="0" fontId="7" fillId="39" borderId="21" xfId="0" applyFont="1" applyFill="1" applyBorder="1" applyAlignment="1">
      <alignment horizontal="center" vertical="center"/>
    </xf>
    <xf numFmtId="0" fontId="20" fillId="39" borderId="5" xfId="49" applyFont="1" applyFill="1" applyBorder="1"/>
    <xf numFmtId="0" fontId="20" fillId="39" borderId="6" xfId="49" applyFont="1" applyFill="1" applyBorder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1" borderId="5" xfId="0" applyFill="1" applyBorder="1"/>
    <xf numFmtId="0" fontId="21" fillId="41" borderId="5" xfId="0" applyFont="1" applyFill="1" applyBorder="1"/>
    <xf numFmtId="0" fontId="0" fillId="43" borderId="5" xfId="0" applyFill="1" applyBorder="1"/>
    <xf numFmtId="0" fontId="0" fillId="44" borderId="5" xfId="0" applyFill="1" applyBorder="1"/>
    <xf numFmtId="0" fontId="0" fillId="45" borderId="5" xfId="0" applyFill="1" applyBorder="1"/>
    <xf numFmtId="0" fontId="0" fillId="46" borderId="5" xfId="0" applyFill="1" applyBorder="1"/>
    <xf numFmtId="0" fontId="0" fillId="47" borderId="5" xfId="0" applyFill="1" applyBorder="1"/>
    <xf numFmtId="0" fontId="0" fillId="48" borderId="5" xfId="0" applyFill="1" applyBorder="1"/>
    <xf numFmtId="0" fontId="0" fillId="0" borderId="0" xfId="0" applyAlignment="1">
      <alignment horizontal="right"/>
    </xf>
    <xf numFmtId="0" fontId="0" fillId="41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3" borderId="5" xfId="0" applyFill="1" applyBorder="1" applyAlignment="1">
      <alignment horizontal="center" vertical="center"/>
    </xf>
    <xf numFmtId="0" fontId="23" fillId="41" borderId="5" xfId="0" applyFont="1" applyFill="1" applyBorder="1" applyAlignment="1">
      <alignment horizontal="center" vertical="center"/>
    </xf>
    <xf numFmtId="0" fontId="23" fillId="43" borderId="5" xfId="0" applyFont="1" applyFill="1" applyBorder="1" applyAlignment="1">
      <alignment horizontal="center" vertical="center"/>
    </xf>
    <xf numFmtId="0" fontId="23" fillId="43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2" xfId="0" applyBorder="1" applyAlignment="1">
      <alignment horizontal="center"/>
    </xf>
    <xf numFmtId="0" fontId="25" fillId="41" borderId="7" xfId="0" applyFont="1" applyFill="1" applyBorder="1" applyAlignment="1">
      <alignment horizontal="center"/>
    </xf>
    <xf numFmtId="0" fontId="25" fillId="41" borderId="8" xfId="0" applyFont="1" applyFill="1" applyBorder="1" applyAlignment="1">
      <alignment horizontal="center"/>
    </xf>
    <xf numFmtId="0" fontId="0" fillId="41" borderId="5" xfId="0" applyFill="1" applyBorder="1" applyAlignment="1">
      <alignment horizontal="center"/>
    </xf>
    <xf numFmtId="0" fontId="0" fillId="43" borderId="5" xfId="0" applyFill="1" applyBorder="1" applyAlignment="1">
      <alignment horizontal="center"/>
    </xf>
    <xf numFmtId="0" fontId="24" fillId="0" borderId="0" xfId="0" applyFont="1" applyAlignment="1">
      <alignment horizontal="center"/>
    </xf>
    <xf numFmtId="0" fontId="0" fillId="41" borderId="7" xfId="0" applyFill="1" applyBorder="1" applyAlignment="1">
      <alignment horizontal="center"/>
    </xf>
    <xf numFmtId="0" fontId="0" fillId="41" borderId="8" xfId="0" applyFill="1" applyBorder="1" applyAlignment="1">
      <alignment horizontal="center"/>
    </xf>
    <xf numFmtId="0" fontId="0" fillId="43" borderId="7" xfId="0" applyFill="1" applyBorder="1" applyAlignment="1">
      <alignment horizontal="center"/>
    </xf>
    <xf numFmtId="0" fontId="0" fillId="43" borderId="8" xfId="0" applyFill="1" applyBorder="1" applyAlignment="1">
      <alignment horizontal="center"/>
    </xf>
    <xf numFmtId="0" fontId="0" fillId="41" borderId="22" xfId="0" applyFill="1" applyBorder="1" applyAlignment="1">
      <alignment horizontal="center"/>
    </xf>
    <xf numFmtId="0" fontId="23" fillId="43" borderId="7" xfId="0" applyFont="1" applyFill="1" applyBorder="1" applyAlignment="1">
      <alignment horizontal="center"/>
    </xf>
    <xf numFmtId="0" fontId="23" fillId="43" borderId="8" xfId="0" applyFont="1" applyFill="1" applyBorder="1" applyAlignment="1">
      <alignment horizontal="center"/>
    </xf>
    <xf numFmtId="0" fontId="23" fillId="43" borderId="5" xfId="0" applyFont="1" applyFill="1" applyBorder="1" applyAlignment="1">
      <alignment horizontal="center"/>
    </xf>
  </cellXfs>
  <cellStyles count="50">
    <cellStyle name="20% - Accent1" xfId="7" builtinId="30" customBuiltin="1"/>
    <cellStyle name="20% - Accent2" xfId="11" builtinId="34" customBuiltin="1"/>
    <cellStyle name="20% - Accent3" xfId="15" builtinId="38" customBuiltin="1"/>
    <cellStyle name="20% - Accent4" xfId="19" builtinId="42" customBuiltin="1"/>
    <cellStyle name="20% - Accent5" xfId="23" builtinId="46" customBuiltin="1"/>
    <cellStyle name="20% - Accent6" xfId="27" builtinId="50" customBuiltin="1"/>
    <cellStyle name="40% - Accent1" xfId="8" builtinId="31" customBuiltin="1"/>
    <cellStyle name="40% - Accent2" xfId="12" builtinId="35" customBuiltin="1"/>
    <cellStyle name="40% - Accent3" xfId="16" builtinId="39" customBuiltin="1"/>
    <cellStyle name="40% - Accent4" xfId="20" builtinId="43" customBuiltin="1"/>
    <cellStyle name="40% - Accent5" xfId="24" builtinId="47" customBuiltin="1"/>
    <cellStyle name="40% - Accent6" xfId="28" builtinId="51" customBuiltin="1"/>
    <cellStyle name="60% - Accent1" xfId="9" builtinId="32" customBuiltin="1"/>
    <cellStyle name="60% - Accent2" xfId="13" builtinId="36" customBuiltin="1"/>
    <cellStyle name="60% - Accent3" xfId="17" builtinId="40" customBuiltin="1"/>
    <cellStyle name="60% - Accent4" xfId="21" builtinId="44" customBuiltin="1"/>
    <cellStyle name="60% - Accent5" xfId="25" builtinId="48" customBuiltin="1"/>
    <cellStyle name="60% - Accent6" xfId="29" builtinId="52" customBuiltin="1"/>
    <cellStyle name="Accent1" xfId="6" builtinId="29" customBuiltin="1"/>
    <cellStyle name="Accent2" xfId="10" builtinId="33" customBuiltin="1"/>
    <cellStyle name="Accent3" xfId="14" builtinId="37" customBuiltin="1"/>
    <cellStyle name="Accent4" xfId="18" builtinId="41" customBuiltin="1"/>
    <cellStyle name="Accent5" xfId="22" builtinId="45" customBuiltin="1"/>
    <cellStyle name="Accent6" xfId="26" builtinId="49" customBuiltin="1"/>
    <cellStyle name="Bad" xfId="3" builtinId="27" customBuiltin="1"/>
    <cellStyle name="Calculation 2" xfId="32" xr:uid="{4FDBD2B2-CC39-4BC2-AEDF-AC3A0FD0FC62}"/>
    <cellStyle name="Calculation 3" xfId="31" xr:uid="{048DD6C0-34C7-4811-B130-692DA89EB7E5}"/>
    <cellStyle name="Check Cell" xfId="5" builtinId="23" customBuiltin="1"/>
    <cellStyle name="Comma 2" xfId="34" xr:uid="{EF90BA56-CC72-4FD0-BC01-43E2FB299E3A}"/>
    <cellStyle name="Comma 3" xfId="33" xr:uid="{21B79889-EA15-4E85-8FD7-B13DC2460A11}"/>
    <cellStyle name="Explanatory Text 2" xfId="35" xr:uid="{8A15312F-D71F-44CC-A093-AABEC49CA59C}"/>
    <cellStyle name="Followed Hyperlink" xfId="36" builtinId="9" customBuiltin="1"/>
    <cellStyle name="Good" xfId="2" builtinId="26" customBuiltin="1"/>
    <cellStyle name="Hyperlink" xfId="37" builtinId="8" customBuiltin="1"/>
    <cellStyle name="Hyperlink 2" xfId="48" xr:uid="{D166F6D6-33F0-4AFE-952F-3DA5EBDC76C6}"/>
    <cellStyle name="Input 2" xfId="38" xr:uid="{BCCF409D-0134-4E78-9FF8-5E0AC88B2BC7}"/>
    <cellStyle name="Input data" xfId="39" xr:uid="{3C8D15E1-0F7D-4B00-922E-0EE0D1D317D9}"/>
    <cellStyle name="Linked Cell 2" xfId="40" xr:uid="{E0AEAD7D-057E-4495-A03A-8D43B193FC22}"/>
    <cellStyle name="Neutral" xfId="4" builtinId="28" customBuiltin="1"/>
    <cellStyle name="Normal" xfId="0" builtinId="0"/>
    <cellStyle name="Normal 2" xfId="49" xr:uid="{F52C8F95-C88F-415E-896B-761BFE7EE96C}"/>
    <cellStyle name="Normal 3" xfId="30" xr:uid="{248FD251-0590-4420-9A6F-D42EBBB02574}"/>
    <cellStyle name="Normal 4" xfId="46" xr:uid="{BDC9C15D-8FC0-4A40-AB31-1387BAF8494B}"/>
    <cellStyle name="Note 2" xfId="41" xr:uid="{DF8A8575-3829-4A29-9CF0-001F5F864358}"/>
    <cellStyle name="Output 2" xfId="42" xr:uid="{B09F0F66-367E-4B0C-A1C6-3AFB4EB0E43E}"/>
    <cellStyle name="Percent 2" xfId="43" xr:uid="{C8BC6C10-9F47-43C0-B8E6-6C542229E03E}"/>
    <cellStyle name="Percent 3" xfId="47" xr:uid="{5FA40543-FF8B-4034-8AB0-F00261FE4DB7}"/>
    <cellStyle name="Selection" xfId="44" xr:uid="{9F8980E2-A3ED-405C-B9FA-E3849EBCAD72}"/>
    <cellStyle name="Title" xfId="1" builtinId="15" customBuiltin="1"/>
    <cellStyle name="Warning Text 2" xfId="45" xr:uid="{20BB93C8-BE76-428E-9F7B-58258AE8F135}"/>
  </cellStyles>
  <dxfs count="28"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zoomScale="67" workbookViewId="0">
      <selection activeCell="T32" sqref="T32"/>
    </sheetView>
  </sheetViews>
  <sheetFormatPr defaultRowHeight="14.4" x14ac:dyDescent="0.3"/>
  <cols>
    <col min="1" max="2" width="12.6640625" customWidth="1"/>
    <col min="5" max="5" width="25.21875" customWidth="1"/>
    <col min="6" max="6" width="14.77734375" customWidth="1"/>
    <col min="7" max="7" width="11.33203125" customWidth="1"/>
    <col min="8" max="8" width="15.44140625" customWidth="1"/>
    <col min="9" max="9" width="12.5546875" customWidth="1"/>
    <col min="10" max="10" width="13.21875" customWidth="1"/>
    <col min="12" max="12" width="10" customWidth="1"/>
    <col min="13" max="13" width="12.77734375" customWidth="1"/>
    <col min="14" max="14" width="7.33203125" customWidth="1"/>
    <col min="15" max="15" width="13.5546875" customWidth="1"/>
    <col min="16" max="16" width="14.5546875" customWidth="1"/>
  </cols>
  <sheetData>
    <row r="1" spans="1:17" x14ac:dyDescent="0.3">
      <c r="A1" s="75" t="s">
        <v>24</v>
      </c>
      <c r="B1" s="75"/>
    </row>
    <row r="2" spans="1:17" x14ac:dyDescent="0.3">
      <c r="A2" s="1" t="s">
        <v>25</v>
      </c>
      <c r="B2" s="1" t="s">
        <v>26</v>
      </c>
    </row>
    <row r="3" spans="1:17" x14ac:dyDescent="0.3">
      <c r="A3" s="1" t="s">
        <v>27</v>
      </c>
      <c r="B3" s="1" t="s">
        <v>28</v>
      </c>
    </row>
    <row r="4" spans="1:17" x14ac:dyDescent="0.3">
      <c r="A4" s="1" t="s">
        <v>29</v>
      </c>
      <c r="B4" s="2">
        <v>45870</v>
      </c>
    </row>
    <row r="5" spans="1:17" x14ac:dyDescent="0.3">
      <c r="A5" s="1" t="s">
        <v>30</v>
      </c>
      <c r="B5" s="1" t="s">
        <v>31</v>
      </c>
    </row>
    <row r="6" spans="1:17" x14ac:dyDescent="0.3">
      <c r="A6" s="1" t="s">
        <v>32</v>
      </c>
      <c r="B6" s="1" t="s">
        <v>33</v>
      </c>
    </row>
    <row r="7" spans="1:17" x14ac:dyDescent="0.3">
      <c r="B7" s="3" t="s">
        <v>34</v>
      </c>
      <c r="C7" s="76" t="s">
        <v>35</v>
      </c>
      <c r="D7" s="76"/>
      <c r="E7" s="76"/>
      <c r="F7" s="76"/>
      <c r="G7" s="76"/>
      <c r="H7" s="7"/>
      <c r="I7" s="7"/>
      <c r="J7" s="7"/>
    </row>
    <row r="8" spans="1:17" x14ac:dyDescent="0.3">
      <c r="B8" s="38"/>
      <c r="C8" s="7"/>
      <c r="D8" s="7"/>
      <c r="E8" s="7"/>
      <c r="F8" s="7"/>
      <c r="G8" s="7"/>
      <c r="H8" s="7"/>
      <c r="I8" s="7"/>
      <c r="J8" s="7"/>
    </row>
    <row r="9" spans="1:17" s="35" customFormat="1" ht="46.8" customHeight="1" x14ac:dyDescent="0.3">
      <c r="A9" s="32" t="s">
        <v>36</v>
      </c>
      <c r="B9" s="32" t="s">
        <v>37</v>
      </c>
      <c r="C9" s="32" t="s">
        <v>38</v>
      </c>
      <c r="D9" s="33" t="s">
        <v>39</v>
      </c>
      <c r="E9" s="32" t="s">
        <v>40</v>
      </c>
      <c r="F9" s="34" t="s">
        <v>41</v>
      </c>
      <c r="G9" s="32" t="s">
        <v>42</v>
      </c>
      <c r="H9" s="32" t="s">
        <v>57</v>
      </c>
      <c r="I9" s="32" t="s">
        <v>42</v>
      </c>
      <c r="J9" s="32" t="s">
        <v>59</v>
      </c>
      <c r="K9" s="32" t="s">
        <v>43</v>
      </c>
      <c r="L9" s="32" t="s">
        <v>44</v>
      </c>
      <c r="M9" s="32" t="s">
        <v>45</v>
      </c>
      <c r="O9" s="36" t="s">
        <v>168</v>
      </c>
      <c r="P9" s="36" t="s">
        <v>169</v>
      </c>
    </row>
    <row r="10" spans="1:17" ht="16.2" x14ac:dyDescent="0.35">
      <c r="O10" s="48">
        <f>SUM(O12:O190)</f>
        <v>19028.41287</v>
      </c>
      <c r="P10" s="48">
        <f>SUM(P12:P190)</f>
        <v>12679.12772</v>
      </c>
      <c r="Q10" s="14" t="s">
        <v>58</v>
      </c>
    </row>
    <row r="12" spans="1:17" ht="15.6" x14ac:dyDescent="0.35">
      <c r="A12" t="s">
        <v>0</v>
      </c>
      <c r="B12" t="s">
        <v>1</v>
      </c>
      <c r="C12">
        <v>2025</v>
      </c>
      <c r="D12" t="s">
        <v>2</v>
      </c>
      <c r="E12" s="39" t="s">
        <v>3</v>
      </c>
      <c r="F12">
        <v>2651</v>
      </c>
      <c r="G12" t="s">
        <v>4</v>
      </c>
      <c r="H12" s="15">
        <v>0.20263999999999999</v>
      </c>
      <c r="I12" s="14" t="s">
        <v>58</v>
      </c>
      <c r="J12" s="13">
        <f t="shared" ref="J12:J40" si="0">(F12*H12)</f>
        <v>537.19863999999995</v>
      </c>
      <c r="K12" t="b">
        <v>1</v>
      </c>
      <c r="L12">
        <v>1</v>
      </c>
      <c r="M12" t="s">
        <v>5</v>
      </c>
      <c r="O12">
        <f>(J12+J13+J14+J19+J20+J23+J24+J25)</f>
        <v>1440.4863200000002</v>
      </c>
      <c r="P12">
        <f>(J16+J17+J18+J21)</f>
        <v>1001.2390100000001</v>
      </c>
    </row>
    <row r="13" spans="1:17" ht="15.6" x14ac:dyDescent="0.35">
      <c r="A13" t="s">
        <v>0</v>
      </c>
      <c r="B13" t="s">
        <v>1</v>
      </c>
      <c r="C13">
        <v>2025</v>
      </c>
      <c r="D13" t="s">
        <v>2</v>
      </c>
      <c r="E13" s="39" t="s">
        <v>6</v>
      </c>
      <c r="F13">
        <v>534</v>
      </c>
      <c r="G13" t="s">
        <v>4</v>
      </c>
      <c r="H13" s="15">
        <v>0.26807999999999998</v>
      </c>
      <c r="I13" s="14" t="s">
        <v>58</v>
      </c>
      <c r="J13" s="13">
        <f t="shared" si="0"/>
        <v>143.15472</v>
      </c>
      <c r="K13" t="b">
        <v>1</v>
      </c>
      <c r="L13">
        <v>1</v>
      </c>
      <c r="M13" t="s">
        <v>5</v>
      </c>
    </row>
    <row r="14" spans="1:17" ht="15.6" x14ac:dyDescent="0.35">
      <c r="A14" t="s">
        <v>0</v>
      </c>
      <c r="B14" t="s">
        <v>1</v>
      </c>
      <c r="C14">
        <v>2025</v>
      </c>
      <c r="D14" t="s">
        <v>2</v>
      </c>
      <c r="E14" s="39" t="s">
        <v>7</v>
      </c>
      <c r="F14">
        <v>412</v>
      </c>
      <c r="G14" t="s">
        <v>4</v>
      </c>
      <c r="H14" s="15">
        <v>0.23030999999999999</v>
      </c>
      <c r="I14" s="14" t="s">
        <v>58</v>
      </c>
      <c r="J14" s="13">
        <f t="shared" si="0"/>
        <v>94.887720000000002</v>
      </c>
      <c r="K14" t="b">
        <v>1</v>
      </c>
      <c r="L14">
        <v>1</v>
      </c>
      <c r="M14" t="s">
        <v>5</v>
      </c>
    </row>
    <row r="15" spans="1:17" ht="15.6" x14ac:dyDescent="0.35">
      <c r="A15" t="s">
        <v>0</v>
      </c>
      <c r="B15" t="s">
        <v>1</v>
      </c>
      <c r="C15">
        <v>2025</v>
      </c>
      <c r="D15" t="s">
        <v>2</v>
      </c>
      <c r="E15" t="s">
        <v>8</v>
      </c>
      <c r="F15">
        <v>2325</v>
      </c>
      <c r="G15" t="s">
        <v>4</v>
      </c>
      <c r="H15" s="15">
        <v>0</v>
      </c>
      <c r="I15" s="14" t="s">
        <v>58</v>
      </c>
      <c r="J15" s="13">
        <f t="shared" si="0"/>
        <v>0</v>
      </c>
      <c r="K15" t="b">
        <v>1</v>
      </c>
      <c r="L15">
        <v>1</v>
      </c>
      <c r="M15" t="s">
        <v>9</v>
      </c>
    </row>
    <row r="16" spans="1:17" ht="15.6" x14ac:dyDescent="0.35">
      <c r="A16" t="s">
        <v>0</v>
      </c>
      <c r="B16" t="s">
        <v>1</v>
      </c>
      <c r="C16">
        <v>2025</v>
      </c>
      <c r="D16" t="s">
        <v>2</v>
      </c>
      <c r="E16" s="40" t="s">
        <v>10</v>
      </c>
      <c r="F16">
        <v>3849</v>
      </c>
      <c r="G16" t="s">
        <v>4</v>
      </c>
      <c r="H16" s="15">
        <v>0.20705000000000001</v>
      </c>
      <c r="I16" s="14" t="s">
        <v>58</v>
      </c>
      <c r="J16" s="13">
        <f t="shared" si="0"/>
        <v>796.93545000000006</v>
      </c>
      <c r="K16" t="b">
        <v>1</v>
      </c>
      <c r="L16">
        <v>1</v>
      </c>
      <c r="M16" t="s">
        <v>5</v>
      </c>
    </row>
    <row r="17" spans="1:16" ht="15.6" x14ac:dyDescent="0.35">
      <c r="A17" t="s">
        <v>0</v>
      </c>
      <c r="B17" t="s">
        <v>1</v>
      </c>
      <c r="C17">
        <v>2025</v>
      </c>
      <c r="D17" t="s">
        <v>2</v>
      </c>
      <c r="E17" s="40" t="s">
        <v>11</v>
      </c>
      <c r="F17">
        <v>212</v>
      </c>
      <c r="G17" t="s">
        <v>4</v>
      </c>
      <c r="H17" s="8">
        <v>0.20263999999999999</v>
      </c>
      <c r="I17" s="14" t="s">
        <v>58</v>
      </c>
      <c r="J17" s="13">
        <f>(F17*H17)</f>
        <v>42.959679999999999</v>
      </c>
      <c r="K17" t="b">
        <v>1</v>
      </c>
      <c r="L17">
        <v>1</v>
      </c>
      <c r="M17" t="s">
        <v>5</v>
      </c>
    </row>
    <row r="18" spans="1:16" ht="15.6" x14ac:dyDescent="0.35">
      <c r="A18" t="s">
        <v>0</v>
      </c>
      <c r="B18" t="s">
        <v>1</v>
      </c>
      <c r="C18">
        <v>2025</v>
      </c>
      <c r="D18" t="s">
        <v>2</v>
      </c>
      <c r="E18" s="40" t="s">
        <v>12</v>
      </c>
      <c r="F18">
        <v>691</v>
      </c>
      <c r="G18" t="s">
        <v>4</v>
      </c>
      <c r="H18" s="12">
        <v>0.17965</v>
      </c>
      <c r="I18" s="14" t="s">
        <v>58</v>
      </c>
      <c r="J18" s="13">
        <f>(F18*H18)</f>
        <v>124.13815</v>
      </c>
      <c r="K18" t="b">
        <v>1</v>
      </c>
      <c r="L18">
        <v>1</v>
      </c>
      <c r="M18" t="s">
        <v>5</v>
      </c>
    </row>
    <row r="19" spans="1:16" ht="15.6" x14ac:dyDescent="0.35">
      <c r="A19" t="s">
        <v>0</v>
      </c>
      <c r="B19" t="s">
        <v>1</v>
      </c>
      <c r="C19">
        <v>2025</v>
      </c>
      <c r="D19" t="s">
        <v>2</v>
      </c>
      <c r="E19" s="39" t="s">
        <v>13</v>
      </c>
      <c r="F19">
        <v>487</v>
      </c>
      <c r="G19" t="s">
        <v>14</v>
      </c>
      <c r="H19" s="22">
        <v>0.34399999999999997</v>
      </c>
      <c r="I19" s="14" t="s">
        <v>58</v>
      </c>
      <c r="J19" s="13">
        <f t="shared" si="0"/>
        <v>167.52799999999999</v>
      </c>
      <c r="K19" t="b">
        <v>1</v>
      </c>
      <c r="L19">
        <v>1</v>
      </c>
      <c r="M19" t="s">
        <v>15</v>
      </c>
    </row>
    <row r="20" spans="1:16" ht="15.6" x14ac:dyDescent="0.35">
      <c r="A20" t="s">
        <v>0</v>
      </c>
      <c r="B20" t="s">
        <v>1</v>
      </c>
      <c r="C20">
        <v>2025</v>
      </c>
      <c r="D20" t="s">
        <v>2</v>
      </c>
      <c r="E20" s="39" t="s">
        <v>16</v>
      </c>
      <c r="F20">
        <v>500</v>
      </c>
      <c r="G20" t="s">
        <v>14</v>
      </c>
      <c r="H20" s="22">
        <v>0.54</v>
      </c>
      <c r="I20" s="14" t="s">
        <v>58</v>
      </c>
      <c r="J20" s="13">
        <f t="shared" si="0"/>
        <v>270</v>
      </c>
      <c r="K20" t="b">
        <v>0</v>
      </c>
      <c r="L20">
        <v>0</v>
      </c>
      <c r="M20" t="s">
        <v>17</v>
      </c>
    </row>
    <row r="21" spans="1:16" ht="15.6" x14ac:dyDescent="0.35">
      <c r="A21" t="s">
        <v>0</v>
      </c>
      <c r="B21" t="s">
        <v>1</v>
      </c>
      <c r="C21">
        <v>2025</v>
      </c>
      <c r="D21" t="s">
        <v>2</v>
      </c>
      <c r="E21" s="40" t="s">
        <v>18</v>
      </c>
      <c r="F21">
        <v>243</v>
      </c>
      <c r="G21" t="s">
        <v>14</v>
      </c>
      <c r="H21" s="43">
        <v>0.15311</v>
      </c>
      <c r="I21" s="14" t="s">
        <v>58</v>
      </c>
      <c r="J21" s="13">
        <f t="shared" si="0"/>
        <v>37.205729999999996</v>
      </c>
      <c r="K21" t="b">
        <v>1</v>
      </c>
      <c r="L21">
        <v>1</v>
      </c>
      <c r="M21" t="s">
        <v>5</v>
      </c>
    </row>
    <row r="22" spans="1:16" ht="15.6" x14ac:dyDescent="0.35">
      <c r="A22" t="s">
        <v>0</v>
      </c>
      <c r="B22" t="s">
        <v>1</v>
      </c>
      <c r="C22">
        <v>2025</v>
      </c>
      <c r="D22" t="s">
        <v>2</v>
      </c>
      <c r="E22" t="s">
        <v>19</v>
      </c>
      <c r="F22">
        <v>87</v>
      </c>
      <c r="G22" t="s">
        <v>14</v>
      </c>
      <c r="H22" s="17">
        <v>0</v>
      </c>
      <c r="I22" s="14" t="s">
        <v>58</v>
      </c>
      <c r="J22" s="13">
        <f t="shared" si="0"/>
        <v>0</v>
      </c>
      <c r="K22" t="b">
        <v>0</v>
      </c>
      <c r="L22">
        <v>0</v>
      </c>
      <c r="M22" t="s">
        <v>20</v>
      </c>
    </row>
    <row r="23" spans="1:16" ht="15.6" x14ac:dyDescent="0.35">
      <c r="A23" t="s">
        <v>0</v>
      </c>
      <c r="B23" t="s">
        <v>1</v>
      </c>
      <c r="C23">
        <v>2025</v>
      </c>
      <c r="D23" t="s">
        <v>2</v>
      </c>
      <c r="E23" s="39" t="s">
        <v>21</v>
      </c>
      <c r="F23">
        <v>400</v>
      </c>
      <c r="G23" t="s">
        <v>14</v>
      </c>
      <c r="H23" s="9">
        <v>0.18573999999999999</v>
      </c>
      <c r="I23" s="14" t="s">
        <v>58</v>
      </c>
      <c r="J23" s="13">
        <f t="shared" si="0"/>
        <v>74.295999999999992</v>
      </c>
      <c r="K23" t="b">
        <v>1</v>
      </c>
      <c r="L23">
        <v>1</v>
      </c>
      <c r="M23" t="s">
        <v>15</v>
      </c>
    </row>
    <row r="24" spans="1:16" ht="15.6" x14ac:dyDescent="0.35">
      <c r="A24" t="s">
        <v>0</v>
      </c>
      <c r="B24" t="s">
        <v>1</v>
      </c>
      <c r="C24">
        <v>2025</v>
      </c>
      <c r="D24" t="s">
        <v>2</v>
      </c>
      <c r="E24" s="39" t="s">
        <v>22</v>
      </c>
      <c r="F24">
        <v>264</v>
      </c>
      <c r="G24" t="s">
        <v>14</v>
      </c>
      <c r="H24" s="9">
        <v>0.18573999999999999</v>
      </c>
      <c r="I24" s="14" t="s">
        <v>58</v>
      </c>
      <c r="J24" s="13">
        <f t="shared" si="0"/>
        <v>49.035359999999997</v>
      </c>
      <c r="K24" t="b">
        <v>0</v>
      </c>
      <c r="L24">
        <v>0</v>
      </c>
      <c r="M24" t="s">
        <v>20</v>
      </c>
    </row>
    <row r="25" spans="1:16" ht="15.6" x14ac:dyDescent="0.35">
      <c r="A25" t="s">
        <v>0</v>
      </c>
      <c r="B25" t="s">
        <v>1</v>
      </c>
      <c r="C25">
        <v>2025</v>
      </c>
      <c r="D25" t="s">
        <v>2</v>
      </c>
      <c r="E25" s="39" t="s">
        <v>23</v>
      </c>
      <c r="F25">
        <v>562</v>
      </c>
      <c r="G25" t="s">
        <v>14</v>
      </c>
      <c r="H25" s="9">
        <v>0.18573999999999999</v>
      </c>
      <c r="I25" s="16" t="s">
        <v>58</v>
      </c>
      <c r="J25" s="13">
        <f t="shared" si="0"/>
        <v>104.38588</v>
      </c>
      <c r="K25" t="b">
        <v>1</v>
      </c>
      <c r="L25">
        <v>1</v>
      </c>
      <c r="M25" t="s">
        <v>5</v>
      </c>
    </row>
    <row r="26" spans="1:16" x14ac:dyDescent="0.3">
      <c r="H26" s="11"/>
      <c r="I26" s="10"/>
    </row>
    <row r="27" spans="1:16" ht="15.6" x14ac:dyDescent="0.35">
      <c r="A27" t="s">
        <v>0</v>
      </c>
      <c r="B27" t="s">
        <v>1</v>
      </c>
      <c r="C27">
        <v>2025</v>
      </c>
      <c r="D27" t="s">
        <v>46</v>
      </c>
      <c r="E27" t="s">
        <v>3</v>
      </c>
      <c r="F27">
        <v>2191</v>
      </c>
      <c r="G27" t="s">
        <v>4</v>
      </c>
      <c r="H27" s="15">
        <v>0.20263999999999999</v>
      </c>
      <c r="I27" s="14" t="s">
        <v>58</v>
      </c>
      <c r="J27" s="13">
        <f t="shared" si="0"/>
        <v>443.98423999999994</v>
      </c>
      <c r="K27" t="b">
        <v>0</v>
      </c>
      <c r="L27">
        <v>0</v>
      </c>
      <c r="M27" t="s">
        <v>5</v>
      </c>
      <c r="O27">
        <f>(J27+J28+J29+J34+J35+J38+J39+J40)</f>
        <v>1415.7213100000001</v>
      </c>
      <c r="P27">
        <f>(J31+J32+J33+J36)</f>
        <v>1631.6263800000002</v>
      </c>
    </row>
    <row r="28" spans="1:16" ht="15.6" x14ac:dyDescent="0.35">
      <c r="A28" t="s">
        <v>0</v>
      </c>
      <c r="B28" t="s">
        <v>1</v>
      </c>
      <c r="C28">
        <v>2025</v>
      </c>
      <c r="D28" t="s">
        <v>46</v>
      </c>
      <c r="E28" t="s">
        <v>6</v>
      </c>
      <c r="F28">
        <v>630</v>
      </c>
      <c r="G28" t="s">
        <v>4</v>
      </c>
      <c r="H28" s="15">
        <v>0.26807999999999998</v>
      </c>
      <c r="I28" s="14" t="s">
        <v>58</v>
      </c>
      <c r="J28" s="13">
        <f t="shared" si="0"/>
        <v>168.8904</v>
      </c>
      <c r="K28" t="b">
        <v>1</v>
      </c>
      <c r="L28">
        <v>1</v>
      </c>
      <c r="M28" t="s">
        <v>5</v>
      </c>
    </row>
    <row r="29" spans="1:16" ht="15.6" x14ac:dyDescent="0.35">
      <c r="A29" t="s">
        <v>0</v>
      </c>
      <c r="B29" t="s">
        <v>1</v>
      </c>
      <c r="C29">
        <v>2025</v>
      </c>
      <c r="D29" t="s">
        <v>46</v>
      </c>
      <c r="E29" t="s">
        <v>7</v>
      </c>
      <c r="F29">
        <v>825</v>
      </c>
      <c r="G29" t="s">
        <v>4</v>
      </c>
      <c r="H29" s="15">
        <v>0.23030999999999999</v>
      </c>
      <c r="I29" s="14" t="s">
        <v>58</v>
      </c>
      <c r="J29" s="13">
        <f t="shared" si="0"/>
        <v>190.00574999999998</v>
      </c>
      <c r="K29" t="b">
        <v>1</v>
      </c>
      <c r="L29">
        <v>1</v>
      </c>
      <c r="M29" t="s">
        <v>5</v>
      </c>
    </row>
    <row r="30" spans="1:16" ht="15.6" x14ac:dyDescent="0.35">
      <c r="A30" t="s">
        <v>0</v>
      </c>
      <c r="B30" t="s">
        <v>1</v>
      </c>
      <c r="C30">
        <v>2025</v>
      </c>
      <c r="D30" t="s">
        <v>46</v>
      </c>
      <c r="E30" t="s">
        <v>8</v>
      </c>
      <c r="F30">
        <v>2261</v>
      </c>
      <c r="G30" t="s">
        <v>4</v>
      </c>
      <c r="H30" s="15">
        <v>0</v>
      </c>
      <c r="I30" s="14" t="s">
        <v>58</v>
      </c>
      <c r="J30" s="13">
        <f t="shared" si="0"/>
        <v>0</v>
      </c>
      <c r="K30" t="b">
        <v>1</v>
      </c>
      <c r="L30">
        <v>1</v>
      </c>
      <c r="M30" t="s">
        <v>9</v>
      </c>
    </row>
    <row r="31" spans="1:16" ht="15.6" x14ac:dyDescent="0.35">
      <c r="A31" t="s">
        <v>0</v>
      </c>
      <c r="B31" t="s">
        <v>1</v>
      </c>
      <c r="C31">
        <v>2025</v>
      </c>
      <c r="D31" t="s">
        <v>46</v>
      </c>
      <c r="E31" t="s">
        <v>10</v>
      </c>
      <c r="F31">
        <v>7026</v>
      </c>
      <c r="G31" t="s">
        <v>4</v>
      </c>
      <c r="H31" s="15">
        <v>0.20705000000000001</v>
      </c>
      <c r="I31" s="14" t="s">
        <v>58</v>
      </c>
      <c r="J31" s="13">
        <f t="shared" si="0"/>
        <v>1454.7333000000001</v>
      </c>
      <c r="K31" t="b">
        <v>1</v>
      </c>
      <c r="L31">
        <v>1</v>
      </c>
      <c r="M31" t="s">
        <v>5</v>
      </c>
    </row>
    <row r="32" spans="1:16" ht="15.6" x14ac:dyDescent="0.35">
      <c r="A32" t="s">
        <v>0</v>
      </c>
      <c r="B32" t="s">
        <v>1</v>
      </c>
      <c r="C32">
        <v>2025</v>
      </c>
      <c r="D32" t="s">
        <v>46</v>
      </c>
      <c r="E32" t="s">
        <v>11</v>
      </c>
      <c r="F32">
        <v>121</v>
      </c>
      <c r="G32" t="s">
        <v>4</v>
      </c>
      <c r="H32" s="8">
        <v>0.20263999999999999</v>
      </c>
      <c r="I32" s="14" t="s">
        <v>58</v>
      </c>
      <c r="J32" s="13">
        <f t="shared" si="0"/>
        <v>24.519439999999999</v>
      </c>
      <c r="K32" t="b">
        <v>1</v>
      </c>
      <c r="L32">
        <v>1</v>
      </c>
      <c r="M32" t="s">
        <v>5</v>
      </c>
    </row>
    <row r="33" spans="1:16" ht="15.6" x14ac:dyDescent="0.35">
      <c r="A33" t="s">
        <v>0</v>
      </c>
      <c r="B33" t="s">
        <v>1</v>
      </c>
      <c r="C33">
        <v>2025</v>
      </c>
      <c r="D33" t="s">
        <v>46</v>
      </c>
      <c r="E33" t="s">
        <v>12</v>
      </c>
      <c r="F33">
        <v>653</v>
      </c>
      <c r="G33" t="s">
        <v>4</v>
      </c>
      <c r="H33" s="12">
        <v>0.17965</v>
      </c>
      <c r="I33" s="14" t="s">
        <v>58</v>
      </c>
      <c r="J33" s="13">
        <f t="shared" si="0"/>
        <v>117.31145000000001</v>
      </c>
      <c r="K33" t="b">
        <v>1</v>
      </c>
      <c r="L33">
        <v>1</v>
      </c>
      <c r="M33" t="s">
        <v>5</v>
      </c>
    </row>
    <row r="34" spans="1:16" ht="15.6" x14ac:dyDescent="0.35">
      <c r="A34" t="s">
        <v>0</v>
      </c>
      <c r="B34" t="s">
        <v>1</v>
      </c>
      <c r="C34">
        <v>2025</v>
      </c>
      <c r="D34" t="s">
        <v>46</v>
      </c>
      <c r="E34" t="s">
        <v>13</v>
      </c>
      <c r="F34">
        <v>410</v>
      </c>
      <c r="G34" t="s">
        <v>14</v>
      </c>
      <c r="H34" s="22">
        <v>0.34399999999999997</v>
      </c>
      <c r="I34" s="14" t="s">
        <v>58</v>
      </c>
      <c r="J34" s="13">
        <f t="shared" si="0"/>
        <v>141.04</v>
      </c>
      <c r="K34" t="b">
        <v>1</v>
      </c>
      <c r="L34">
        <v>1</v>
      </c>
      <c r="M34" t="s">
        <v>15</v>
      </c>
    </row>
    <row r="35" spans="1:16" ht="15.6" x14ac:dyDescent="0.35">
      <c r="A35" t="s">
        <v>0</v>
      </c>
      <c r="B35" t="s">
        <v>1</v>
      </c>
      <c r="C35">
        <v>2025</v>
      </c>
      <c r="D35" t="s">
        <v>46</v>
      </c>
      <c r="E35" t="s">
        <v>16</v>
      </c>
      <c r="F35">
        <v>441</v>
      </c>
      <c r="G35" t="s">
        <v>14</v>
      </c>
      <c r="H35" s="22">
        <v>0.54</v>
      </c>
      <c r="I35" s="14" t="s">
        <v>58</v>
      </c>
      <c r="J35" s="13">
        <f t="shared" si="0"/>
        <v>238.14000000000001</v>
      </c>
      <c r="K35" t="b">
        <v>0</v>
      </c>
      <c r="L35">
        <v>1</v>
      </c>
      <c r="M35" t="s">
        <v>17</v>
      </c>
    </row>
    <row r="36" spans="1:16" ht="15.6" x14ac:dyDescent="0.35">
      <c r="A36" t="s">
        <v>0</v>
      </c>
      <c r="B36" t="s">
        <v>1</v>
      </c>
      <c r="C36">
        <v>2025</v>
      </c>
      <c r="D36" t="s">
        <v>46</v>
      </c>
      <c r="E36" t="s">
        <v>18</v>
      </c>
      <c r="F36">
        <v>229</v>
      </c>
      <c r="G36" t="s">
        <v>14</v>
      </c>
      <c r="H36" s="43">
        <v>0.15311</v>
      </c>
      <c r="I36" s="14" t="s">
        <v>58</v>
      </c>
      <c r="J36" s="13">
        <f t="shared" si="0"/>
        <v>35.062190000000001</v>
      </c>
      <c r="K36" t="b">
        <v>1</v>
      </c>
      <c r="L36">
        <v>1</v>
      </c>
      <c r="M36" t="s">
        <v>5</v>
      </c>
    </row>
    <row r="37" spans="1:16" ht="15.6" x14ac:dyDescent="0.35">
      <c r="A37" t="s">
        <v>0</v>
      </c>
      <c r="B37" t="s">
        <v>1</v>
      </c>
      <c r="C37">
        <v>2025</v>
      </c>
      <c r="D37" t="s">
        <v>46</v>
      </c>
      <c r="E37" t="s">
        <v>19</v>
      </c>
      <c r="F37">
        <v>99</v>
      </c>
      <c r="G37" t="s">
        <v>14</v>
      </c>
      <c r="H37" s="17">
        <v>0</v>
      </c>
      <c r="I37" s="14" t="s">
        <v>58</v>
      </c>
      <c r="J37" s="13">
        <f t="shared" si="0"/>
        <v>0</v>
      </c>
      <c r="K37" t="b">
        <v>0</v>
      </c>
      <c r="L37">
        <v>0</v>
      </c>
      <c r="M37" t="s">
        <v>20</v>
      </c>
    </row>
    <row r="38" spans="1:16" ht="15.6" x14ac:dyDescent="0.35">
      <c r="A38" t="s">
        <v>0</v>
      </c>
      <c r="B38" t="s">
        <v>1</v>
      </c>
      <c r="C38">
        <v>2025</v>
      </c>
      <c r="D38" t="s">
        <v>46</v>
      </c>
      <c r="E38" t="s">
        <v>21</v>
      </c>
      <c r="F38">
        <v>354</v>
      </c>
      <c r="G38" t="s">
        <v>14</v>
      </c>
      <c r="H38" s="9">
        <v>0.18573999999999999</v>
      </c>
      <c r="I38" s="14" t="s">
        <v>58</v>
      </c>
      <c r="J38" s="13">
        <f t="shared" si="0"/>
        <v>65.751959999999997</v>
      </c>
      <c r="K38" t="b">
        <v>1</v>
      </c>
      <c r="L38">
        <v>1</v>
      </c>
      <c r="M38" t="s">
        <v>15</v>
      </c>
    </row>
    <row r="39" spans="1:16" ht="15.6" x14ac:dyDescent="0.35">
      <c r="A39" t="s">
        <v>0</v>
      </c>
      <c r="B39" t="s">
        <v>1</v>
      </c>
      <c r="C39">
        <v>2025</v>
      </c>
      <c r="D39" t="s">
        <v>46</v>
      </c>
      <c r="E39" t="s">
        <v>22</v>
      </c>
      <c r="F39">
        <v>275</v>
      </c>
      <c r="G39" t="s">
        <v>14</v>
      </c>
      <c r="H39" s="9">
        <v>0.18573999999999999</v>
      </c>
      <c r="I39" s="14" t="s">
        <v>58</v>
      </c>
      <c r="J39" s="13">
        <f t="shared" si="0"/>
        <v>51.078499999999998</v>
      </c>
      <c r="K39" t="b">
        <v>0</v>
      </c>
      <c r="L39">
        <v>0</v>
      </c>
      <c r="M39" t="s">
        <v>20</v>
      </c>
    </row>
    <row r="40" spans="1:16" ht="15.6" x14ac:dyDescent="0.35">
      <c r="A40" t="s">
        <v>0</v>
      </c>
      <c r="B40" t="s">
        <v>1</v>
      </c>
      <c r="C40">
        <v>2025</v>
      </c>
      <c r="D40" t="s">
        <v>46</v>
      </c>
      <c r="E40" t="s">
        <v>23</v>
      </c>
      <c r="F40">
        <v>629</v>
      </c>
      <c r="G40" t="s">
        <v>14</v>
      </c>
      <c r="H40" s="9">
        <v>0.18573999999999999</v>
      </c>
      <c r="I40" s="16" t="s">
        <v>58</v>
      </c>
      <c r="J40" s="13">
        <f t="shared" si="0"/>
        <v>116.83045999999999</v>
      </c>
      <c r="K40" t="b">
        <v>1</v>
      </c>
      <c r="L40">
        <v>1</v>
      </c>
      <c r="M40" t="s">
        <v>5</v>
      </c>
    </row>
    <row r="41" spans="1:16" x14ac:dyDescent="0.3">
      <c r="H41" s="11"/>
      <c r="I41" s="10"/>
    </row>
    <row r="42" spans="1:16" ht="15.6" x14ac:dyDescent="0.35">
      <c r="A42" t="s">
        <v>0</v>
      </c>
      <c r="B42" t="s">
        <v>1</v>
      </c>
      <c r="C42">
        <v>2025</v>
      </c>
      <c r="D42" t="s">
        <v>47</v>
      </c>
      <c r="E42" t="s">
        <v>3</v>
      </c>
      <c r="F42">
        <v>3834</v>
      </c>
      <c r="G42" t="s">
        <v>4</v>
      </c>
      <c r="H42" s="15">
        <v>0.20263999999999999</v>
      </c>
      <c r="I42" s="14" t="s">
        <v>58</v>
      </c>
      <c r="J42" s="13">
        <f t="shared" ref="J42:J46" si="1">(F42*H42)</f>
        <v>776.92175999999995</v>
      </c>
      <c r="K42" t="b">
        <v>1</v>
      </c>
      <c r="L42">
        <v>1</v>
      </c>
      <c r="M42" t="s">
        <v>5</v>
      </c>
      <c r="O42">
        <f>(J42+J43+J44+J49+J50+J53+J54+J55)</f>
        <v>1659.43235</v>
      </c>
      <c r="P42">
        <f>(J46+J47+J48+J51)</f>
        <v>1838.2632800000001</v>
      </c>
    </row>
    <row r="43" spans="1:16" ht="15.6" x14ac:dyDescent="0.35">
      <c r="A43" t="s">
        <v>0</v>
      </c>
      <c r="B43" t="s">
        <v>1</v>
      </c>
      <c r="C43">
        <v>2025</v>
      </c>
      <c r="D43" t="s">
        <v>47</v>
      </c>
      <c r="E43" t="s">
        <v>6</v>
      </c>
      <c r="F43">
        <v>492</v>
      </c>
      <c r="G43" t="s">
        <v>4</v>
      </c>
      <c r="H43" s="15">
        <v>0.26807999999999998</v>
      </c>
      <c r="I43" s="14" t="s">
        <v>58</v>
      </c>
      <c r="J43" s="13">
        <f t="shared" si="1"/>
        <v>131.89535999999998</v>
      </c>
      <c r="K43" t="b">
        <v>1</v>
      </c>
      <c r="L43">
        <v>1</v>
      </c>
      <c r="M43" t="s">
        <v>5</v>
      </c>
    </row>
    <row r="44" spans="1:16" ht="15.6" x14ac:dyDescent="0.35">
      <c r="A44" t="s">
        <v>0</v>
      </c>
      <c r="B44" t="s">
        <v>1</v>
      </c>
      <c r="C44">
        <v>2025</v>
      </c>
      <c r="D44" t="s">
        <v>47</v>
      </c>
      <c r="E44" t="s">
        <v>7</v>
      </c>
      <c r="F44">
        <v>365</v>
      </c>
      <c r="G44" t="s">
        <v>4</v>
      </c>
      <c r="H44" s="15">
        <v>0.23030999999999999</v>
      </c>
      <c r="I44" s="14" t="s">
        <v>58</v>
      </c>
      <c r="J44" s="13">
        <f t="shared" si="1"/>
        <v>84.063149999999993</v>
      </c>
      <c r="K44" t="b">
        <v>0</v>
      </c>
      <c r="L44">
        <v>1</v>
      </c>
      <c r="M44" t="s">
        <v>20</v>
      </c>
    </row>
    <row r="45" spans="1:16" ht="15.6" x14ac:dyDescent="0.35">
      <c r="A45" t="s">
        <v>0</v>
      </c>
      <c r="B45" t="s">
        <v>1</v>
      </c>
      <c r="C45">
        <v>2025</v>
      </c>
      <c r="D45" t="s">
        <v>47</v>
      </c>
      <c r="E45" t="s">
        <v>8</v>
      </c>
      <c r="F45">
        <v>1535</v>
      </c>
      <c r="G45" t="s">
        <v>4</v>
      </c>
      <c r="H45" s="15">
        <v>0</v>
      </c>
      <c r="I45" s="14" t="s">
        <v>58</v>
      </c>
      <c r="J45" s="13">
        <f t="shared" si="1"/>
        <v>0</v>
      </c>
      <c r="K45" t="b">
        <v>1</v>
      </c>
      <c r="L45">
        <v>1</v>
      </c>
      <c r="M45" t="s">
        <v>9</v>
      </c>
    </row>
    <row r="46" spans="1:16" ht="15.6" x14ac:dyDescent="0.35">
      <c r="A46" t="s">
        <v>0</v>
      </c>
      <c r="B46" t="s">
        <v>1</v>
      </c>
      <c r="C46">
        <v>2025</v>
      </c>
      <c r="D46" t="s">
        <v>47</v>
      </c>
      <c r="E46" t="s">
        <v>10</v>
      </c>
      <c r="F46">
        <v>7934</v>
      </c>
      <c r="G46" t="s">
        <v>4</v>
      </c>
      <c r="H46" s="15">
        <v>0.20705000000000001</v>
      </c>
      <c r="I46" s="14" t="s">
        <v>58</v>
      </c>
      <c r="J46" s="13">
        <f t="shared" si="1"/>
        <v>1642.7347000000002</v>
      </c>
      <c r="K46" t="b">
        <v>1</v>
      </c>
      <c r="L46">
        <v>1</v>
      </c>
      <c r="M46" t="s">
        <v>5</v>
      </c>
    </row>
    <row r="47" spans="1:16" ht="15.6" x14ac:dyDescent="0.35">
      <c r="A47" t="s">
        <v>0</v>
      </c>
      <c r="B47" t="s">
        <v>1</v>
      </c>
      <c r="C47">
        <v>2025</v>
      </c>
      <c r="D47" t="s">
        <v>47</v>
      </c>
      <c r="E47" t="s">
        <v>11</v>
      </c>
      <c r="F47">
        <v>161</v>
      </c>
      <c r="G47" t="s">
        <v>4</v>
      </c>
      <c r="H47" s="8">
        <v>0.20263999999999999</v>
      </c>
      <c r="I47" s="14" t="s">
        <v>58</v>
      </c>
      <c r="J47" s="13">
        <f>(F47*H47)</f>
        <v>32.625039999999998</v>
      </c>
      <c r="K47" t="b">
        <v>1</v>
      </c>
      <c r="L47">
        <v>1</v>
      </c>
      <c r="M47" t="s">
        <v>5</v>
      </c>
    </row>
    <row r="48" spans="1:16" ht="15.6" x14ac:dyDescent="0.35">
      <c r="A48" t="s">
        <v>0</v>
      </c>
      <c r="B48" t="s">
        <v>1</v>
      </c>
      <c r="C48">
        <v>2025</v>
      </c>
      <c r="D48" t="s">
        <v>47</v>
      </c>
      <c r="E48" t="s">
        <v>12</v>
      </c>
      <c r="F48">
        <v>669</v>
      </c>
      <c r="G48" t="s">
        <v>4</v>
      </c>
      <c r="H48" s="12">
        <v>0.17965</v>
      </c>
      <c r="I48" s="14" t="s">
        <v>58</v>
      </c>
      <c r="J48" s="13">
        <f>(F48*H48)</f>
        <v>120.18585</v>
      </c>
      <c r="K48" t="b">
        <v>1</v>
      </c>
      <c r="L48">
        <v>1</v>
      </c>
      <c r="M48" t="s">
        <v>5</v>
      </c>
    </row>
    <row r="49" spans="1:16" ht="15.6" x14ac:dyDescent="0.35">
      <c r="A49" t="s">
        <v>0</v>
      </c>
      <c r="B49" t="s">
        <v>1</v>
      </c>
      <c r="C49">
        <v>2025</v>
      </c>
      <c r="D49" t="s">
        <v>47</v>
      </c>
      <c r="E49" t="s">
        <v>13</v>
      </c>
      <c r="F49">
        <v>474</v>
      </c>
      <c r="G49" t="s">
        <v>14</v>
      </c>
      <c r="H49" s="22">
        <v>0.34399999999999997</v>
      </c>
      <c r="I49" s="14" t="s">
        <v>58</v>
      </c>
      <c r="J49" s="13">
        <f t="shared" ref="J49:J55" si="2">(F49*H49)</f>
        <v>163.05599999999998</v>
      </c>
      <c r="K49" t="b">
        <v>1</v>
      </c>
      <c r="L49">
        <v>1</v>
      </c>
      <c r="M49" t="s">
        <v>15</v>
      </c>
    </row>
    <row r="50" spans="1:16" ht="15.6" x14ac:dyDescent="0.35">
      <c r="A50" t="s">
        <v>0</v>
      </c>
      <c r="B50" t="s">
        <v>1</v>
      </c>
      <c r="C50">
        <v>2025</v>
      </c>
      <c r="D50" t="s">
        <v>47</v>
      </c>
      <c r="E50" t="s">
        <v>16</v>
      </c>
      <c r="F50">
        <v>488</v>
      </c>
      <c r="G50" t="s">
        <v>14</v>
      </c>
      <c r="H50" s="22">
        <v>0.54</v>
      </c>
      <c r="I50" s="14" t="s">
        <v>58</v>
      </c>
      <c r="J50" s="13">
        <f t="shared" si="2"/>
        <v>263.52000000000004</v>
      </c>
      <c r="K50" t="b">
        <v>0</v>
      </c>
      <c r="L50">
        <v>0</v>
      </c>
      <c r="M50" t="s">
        <v>17</v>
      </c>
    </row>
    <row r="51" spans="1:16" ht="15.6" x14ac:dyDescent="0.35">
      <c r="A51" t="s">
        <v>0</v>
      </c>
      <c r="B51" t="s">
        <v>1</v>
      </c>
      <c r="C51">
        <v>2025</v>
      </c>
      <c r="D51" t="s">
        <v>47</v>
      </c>
      <c r="E51" t="s">
        <v>18</v>
      </c>
      <c r="F51">
        <v>279</v>
      </c>
      <c r="G51" t="s">
        <v>14</v>
      </c>
      <c r="H51" s="43">
        <v>0.15311</v>
      </c>
      <c r="I51" s="14" t="s">
        <v>58</v>
      </c>
      <c r="J51" s="13">
        <f t="shared" si="2"/>
        <v>42.717689999999997</v>
      </c>
      <c r="K51" t="b">
        <v>1</v>
      </c>
      <c r="L51">
        <v>1</v>
      </c>
      <c r="M51" t="s">
        <v>5</v>
      </c>
    </row>
    <row r="52" spans="1:16" ht="15.6" x14ac:dyDescent="0.35">
      <c r="A52" t="s">
        <v>0</v>
      </c>
      <c r="B52" t="s">
        <v>1</v>
      </c>
      <c r="C52">
        <v>2025</v>
      </c>
      <c r="D52" t="s">
        <v>47</v>
      </c>
      <c r="E52" t="s">
        <v>19</v>
      </c>
      <c r="F52">
        <v>179</v>
      </c>
      <c r="G52" t="s">
        <v>14</v>
      </c>
      <c r="H52" s="17">
        <v>0</v>
      </c>
      <c r="I52" s="14" t="s">
        <v>58</v>
      </c>
      <c r="J52" s="13">
        <f t="shared" si="2"/>
        <v>0</v>
      </c>
      <c r="K52" t="b">
        <v>0</v>
      </c>
      <c r="L52">
        <v>0</v>
      </c>
      <c r="M52" t="s">
        <v>20</v>
      </c>
    </row>
    <row r="53" spans="1:16" ht="15.6" x14ac:dyDescent="0.35">
      <c r="A53" t="s">
        <v>0</v>
      </c>
      <c r="B53" t="s">
        <v>1</v>
      </c>
      <c r="C53">
        <v>2025</v>
      </c>
      <c r="D53" t="s">
        <v>47</v>
      </c>
      <c r="E53" t="s">
        <v>21</v>
      </c>
      <c r="F53">
        <v>379</v>
      </c>
      <c r="G53" t="s">
        <v>14</v>
      </c>
      <c r="H53" s="9">
        <v>0.18573999999999999</v>
      </c>
      <c r="I53" s="14" t="s">
        <v>58</v>
      </c>
      <c r="J53" s="13">
        <f t="shared" si="2"/>
        <v>70.39546</v>
      </c>
      <c r="K53" t="b">
        <v>1</v>
      </c>
      <c r="L53">
        <v>1</v>
      </c>
      <c r="M53" t="s">
        <v>15</v>
      </c>
    </row>
    <row r="54" spans="1:16" ht="15.6" x14ac:dyDescent="0.35">
      <c r="A54" t="s">
        <v>0</v>
      </c>
      <c r="B54" t="s">
        <v>1</v>
      </c>
      <c r="C54">
        <v>2025</v>
      </c>
      <c r="D54" t="s">
        <v>47</v>
      </c>
      <c r="E54" t="s">
        <v>22</v>
      </c>
      <c r="F54">
        <v>275</v>
      </c>
      <c r="G54" t="s">
        <v>14</v>
      </c>
      <c r="H54" s="9">
        <v>0.18573999999999999</v>
      </c>
      <c r="I54" s="14" t="s">
        <v>58</v>
      </c>
      <c r="J54" s="13">
        <f t="shared" si="2"/>
        <v>51.078499999999998</v>
      </c>
      <c r="K54" t="b">
        <v>0</v>
      </c>
      <c r="L54">
        <v>0</v>
      </c>
      <c r="M54" t="s">
        <v>20</v>
      </c>
    </row>
    <row r="55" spans="1:16" ht="15.6" x14ac:dyDescent="0.35">
      <c r="A55" t="s">
        <v>0</v>
      </c>
      <c r="B55" t="s">
        <v>1</v>
      </c>
      <c r="C55">
        <v>2025</v>
      </c>
      <c r="D55" t="s">
        <v>47</v>
      </c>
      <c r="E55" t="s">
        <v>23</v>
      </c>
      <c r="F55">
        <v>638</v>
      </c>
      <c r="G55" t="s">
        <v>14</v>
      </c>
      <c r="H55" s="9">
        <v>0.18573999999999999</v>
      </c>
      <c r="I55" s="16" t="s">
        <v>58</v>
      </c>
      <c r="J55" s="13">
        <f t="shared" si="2"/>
        <v>118.50211999999999</v>
      </c>
      <c r="K55" t="b">
        <v>1</v>
      </c>
      <c r="L55">
        <v>1</v>
      </c>
      <c r="M55" t="s">
        <v>5</v>
      </c>
    </row>
    <row r="56" spans="1:16" x14ac:dyDescent="0.3">
      <c r="H56" s="11"/>
      <c r="I56" s="10"/>
    </row>
    <row r="57" spans="1:16" ht="15.6" x14ac:dyDescent="0.35">
      <c r="A57" t="s">
        <v>0</v>
      </c>
      <c r="B57" t="s">
        <v>1</v>
      </c>
      <c r="C57">
        <v>2025</v>
      </c>
      <c r="D57" t="s">
        <v>48</v>
      </c>
      <c r="E57" t="s">
        <v>3</v>
      </c>
      <c r="F57">
        <v>3141</v>
      </c>
      <c r="G57" t="s">
        <v>4</v>
      </c>
      <c r="H57" s="15">
        <v>0.20263999999999999</v>
      </c>
      <c r="I57" s="14" t="s">
        <v>58</v>
      </c>
      <c r="J57" s="13">
        <f t="shared" ref="J57:J70" si="3">(F57*H57)</f>
        <v>636.49223999999992</v>
      </c>
      <c r="K57" t="b">
        <v>1</v>
      </c>
      <c r="O57">
        <f>(J57+J58+J59+J64+J65+J68+J69+J70)</f>
        <v>1795.67535</v>
      </c>
      <c r="P57">
        <f>(J60+J61+J62+J63+J66)</f>
        <v>890.53742000000011</v>
      </c>
    </row>
    <row r="58" spans="1:16" ht="15.6" x14ac:dyDescent="0.35">
      <c r="A58" t="s">
        <v>0</v>
      </c>
      <c r="B58" t="s">
        <v>1</v>
      </c>
      <c r="C58">
        <v>2025</v>
      </c>
      <c r="D58" t="s">
        <v>48</v>
      </c>
      <c r="E58" t="s">
        <v>6</v>
      </c>
      <c r="F58">
        <v>1328</v>
      </c>
      <c r="G58" t="s">
        <v>4</v>
      </c>
      <c r="H58" s="15">
        <v>0.26807999999999998</v>
      </c>
      <c r="I58" s="14" t="s">
        <v>58</v>
      </c>
      <c r="J58" s="13">
        <f t="shared" si="3"/>
        <v>356.01023999999995</v>
      </c>
      <c r="K58" t="b">
        <v>1</v>
      </c>
      <c r="L58">
        <v>1</v>
      </c>
      <c r="M58" t="s">
        <v>5</v>
      </c>
    </row>
    <row r="59" spans="1:16" ht="15.6" x14ac:dyDescent="0.35">
      <c r="A59" t="s">
        <v>0</v>
      </c>
      <c r="B59" t="s">
        <v>1</v>
      </c>
      <c r="C59">
        <v>2025</v>
      </c>
      <c r="D59" t="s">
        <v>48</v>
      </c>
      <c r="E59" t="s">
        <v>7</v>
      </c>
      <c r="F59">
        <v>757</v>
      </c>
      <c r="G59" t="s">
        <v>4</v>
      </c>
      <c r="H59" s="15">
        <v>0.23030999999999999</v>
      </c>
      <c r="I59" s="14" t="s">
        <v>58</v>
      </c>
      <c r="J59" s="13">
        <f t="shared" si="3"/>
        <v>174.34466999999998</v>
      </c>
      <c r="K59" t="b">
        <v>1</v>
      </c>
      <c r="L59">
        <v>1</v>
      </c>
      <c r="M59" t="s">
        <v>5</v>
      </c>
    </row>
    <row r="60" spans="1:16" ht="15.6" x14ac:dyDescent="0.35">
      <c r="A60" t="s">
        <v>0</v>
      </c>
      <c r="B60" t="s">
        <v>1</v>
      </c>
      <c r="C60">
        <v>2025</v>
      </c>
      <c r="D60" t="s">
        <v>48</v>
      </c>
      <c r="E60" t="s">
        <v>8</v>
      </c>
      <c r="F60">
        <v>1216</v>
      </c>
      <c r="G60" t="s">
        <v>4</v>
      </c>
      <c r="H60" s="15">
        <v>0</v>
      </c>
      <c r="I60" s="14" t="s">
        <v>58</v>
      </c>
      <c r="J60" s="13">
        <f t="shared" si="3"/>
        <v>0</v>
      </c>
      <c r="K60" t="b">
        <v>1</v>
      </c>
      <c r="L60">
        <v>1</v>
      </c>
      <c r="M60" t="s">
        <v>5</v>
      </c>
    </row>
    <row r="61" spans="1:16" ht="15.6" x14ac:dyDescent="0.35">
      <c r="A61" t="s">
        <v>0</v>
      </c>
      <c r="B61" t="s">
        <v>1</v>
      </c>
      <c r="C61">
        <v>2025</v>
      </c>
      <c r="D61" t="s">
        <v>48</v>
      </c>
      <c r="E61" t="s">
        <v>10</v>
      </c>
      <c r="F61">
        <v>3319</v>
      </c>
      <c r="G61" t="s">
        <v>4</v>
      </c>
      <c r="H61" s="15">
        <v>0.20705000000000001</v>
      </c>
      <c r="I61" s="14" t="s">
        <v>58</v>
      </c>
      <c r="J61" s="13">
        <f t="shared" si="3"/>
        <v>687.19895000000008</v>
      </c>
      <c r="K61" t="b">
        <v>1</v>
      </c>
      <c r="L61">
        <v>1</v>
      </c>
      <c r="M61" t="s">
        <v>9</v>
      </c>
    </row>
    <row r="62" spans="1:16" ht="15.6" x14ac:dyDescent="0.35">
      <c r="A62" t="s">
        <v>0</v>
      </c>
      <c r="B62" t="s">
        <v>1</v>
      </c>
      <c r="C62">
        <v>2025</v>
      </c>
      <c r="D62" t="s">
        <v>48</v>
      </c>
      <c r="E62" t="s">
        <v>11</v>
      </c>
      <c r="F62">
        <v>171</v>
      </c>
      <c r="G62" t="s">
        <v>4</v>
      </c>
      <c r="H62" s="8">
        <v>0.20263999999999999</v>
      </c>
      <c r="I62" s="14" t="s">
        <v>58</v>
      </c>
      <c r="J62" s="13">
        <f t="shared" si="3"/>
        <v>34.651440000000001</v>
      </c>
      <c r="K62" t="b">
        <v>1</v>
      </c>
      <c r="L62">
        <v>1</v>
      </c>
      <c r="M62" t="s">
        <v>5</v>
      </c>
    </row>
    <row r="63" spans="1:16" ht="15.6" x14ac:dyDescent="0.35">
      <c r="A63" t="s">
        <v>0</v>
      </c>
      <c r="B63" t="s">
        <v>1</v>
      </c>
      <c r="C63">
        <v>2025</v>
      </c>
      <c r="D63" t="s">
        <v>48</v>
      </c>
      <c r="E63" t="s">
        <v>12</v>
      </c>
      <c r="F63">
        <v>685</v>
      </c>
      <c r="G63" t="s">
        <v>4</v>
      </c>
      <c r="H63" s="12">
        <v>0.17965</v>
      </c>
      <c r="I63" s="14" t="s">
        <v>58</v>
      </c>
      <c r="J63" s="13">
        <f t="shared" si="3"/>
        <v>123.06025</v>
      </c>
      <c r="K63" t="b">
        <v>1</v>
      </c>
      <c r="L63">
        <v>1</v>
      </c>
      <c r="M63" t="s">
        <v>5</v>
      </c>
    </row>
    <row r="64" spans="1:16" ht="15.6" x14ac:dyDescent="0.35">
      <c r="A64" t="s">
        <v>0</v>
      </c>
      <c r="B64" t="s">
        <v>1</v>
      </c>
      <c r="C64">
        <v>2025</v>
      </c>
      <c r="D64" t="s">
        <v>48</v>
      </c>
      <c r="E64" t="s">
        <v>13</v>
      </c>
      <c r="F64">
        <v>492</v>
      </c>
      <c r="G64" t="s">
        <v>14</v>
      </c>
      <c r="H64" s="22">
        <v>0.34399999999999997</v>
      </c>
      <c r="I64" s="14" t="s">
        <v>58</v>
      </c>
      <c r="J64" s="13">
        <f t="shared" si="3"/>
        <v>169.24799999999999</v>
      </c>
      <c r="K64" t="b">
        <v>1</v>
      </c>
      <c r="L64">
        <v>1</v>
      </c>
      <c r="M64" t="s">
        <v>5</v>
      </c>
    </row>
    <row r="65" spans="1:16" ht="15.6" x14ac:dyDescent="0.35">
      <c r="A65" t="s">
        <v>0</v>
      </c>
      <c r="B65" t="s">
        <v>1</v>
      </c>
      <c r="C65">
        <v>2025</v>
      </c>
      <c r="D65" t="s">
        <v>48</v>
      </c>
      <c r="E65" t="s">
        <v>16</v>
      </c>
      <c r="F65">
        <v>428</v>
      </c>
      <c r="G65" t="s">
        <v>14</v>
      </c>
      <c r="H65" s="22">
        <v>0.54</v>
      </c>
      <c r="I65" s="14" t="s">
        <v>58</v>
      </c>
      <c r="J65" s="13">
        <f t="shared" si="3"/>
        <v>231.12</v>
      </c>
      <c r="K65" t="b">
        <v>0</v>
      </c>
      <c r="L65">
        <v>1</v>
      </c>
      <c r="M65" t="s">
        <v>15</v>
      </c>
    </row>
    <row r="66" spans="1:16" ht="15.6" x14ac:dyDescent="0.35">
      <c r="A66" t="s">
        <v>0</v>
      </c>
      <c r="B66" t="s">
        <v>1</v>
      </c>
      <c r="C66">
        <v>2025</v>
      </c>
      <c r="D66" t="s">
        <v>48</v>
      </c>
      <c r="E66" t="s">
        <v>18</v>
      </c>
      <c r="F66">
        <v>298</v>
      </c>
      <c r="G66" t="s">
        <v>14</v>
      </c>
      <c r="H66" s="43">
        <v>0.15311</v>
      </c>
      <c r="I66" s="14" t="s">
        <v>58</v>
      </c>
      <c r="J66" s="13">
        <f t="shared" si="3"/>
        <v>45.626779999999997</v>
      </c>
      <c r="K66" t="b">
        <v>1</v>
      </c>
      <c r="L66">
        <v>0</v>
      </c>
      <c r="M66" t="s">
        <v>17</v>
      </c>
    </row>
    <row r="67" spans="1:16" ht="15.6" x14ac:dyDescent="0.35">
      <c r="A67" t="s">
        <v>0</v>
      </c>
      <c r="B67" t="s">
        <v>1</v>
      </c>
      <c r="C67">
        <v>2025</v>
      </c>
      <c r="D67" t="s">
        <v>48</v>
      </c>
      <c r="E67" t="s">
        <v>19</v>
      </c>
      <c r="F67">
        <v>141</v>
      </c>
      <c r="G67" t="s">
        <v>14</v>
      </c>
      <c r="H67" s="17">
        <v>0</v>
      </c>
      <c r="I67" s="14" t="s">
        <v>58</v>
      </c>
      <c r="J67" s="13">
        <f t="shared" si="3"/>
        <v>0</v>
      </c>
      <c r="K67" t="b">
        <v>0</v>
      </c>
      <c r="L67">
        <v>1</v>
      </c>
      <c r="M67" t="s">
        <v>5</v>
      </c>
    </row>
    <row r="68" spans="1:16" ht="15.6" x14ac:dyDescent="0.35">
      <c r="A68" t="s">
        <v>0</v>
      </c>
      <c r="B68" t="s">
        <v>1</v>
      </c>
      <c r="C68">
        <v>2025</v>
      </c>
      <c r="D68" t="s">
        <v>48</v>
      </c>
      <c r="E68" t="s">
        <v>21</v>
      </c>
      <c r="F68">
        <v>374</v>
      </c>
      <c r="G68" t="s">
        <v>14</v>
      </c>
      <c r="H68" s="9">
        <v>0.18573999999999999</v>
      </c>
      <c r="I68" s="14" t="s">
        <v>58</v>
      </c>
      <c r="J68" s="13">
        <f t="shared" si="3"/>
        <v>69.466759999999994</v>
      </c>
      <c r="K68" t="b">
        <v>1</v>
      </c>
      <c r="L68">
        <v>0</v>
      </c>
      <c r="M68" t="s">
        <v>20</v>
      </c>
    </row>
    <row r="69" spans="1:16" ht="15.6" x14ac:dyDescent="0.35">
      <c r="A69" t="s">
        <v>0</v>
      </c>
      <c r="B69" t="s">
        <v>1</v>
      </c>
      <c r="C69">
        <v>2025</v>
      </c>
      <c r="D69" t="s">
        <v>48</v>
      </c>
      <c r="E69" t="s">
        <v>22</v>
      </c>
      <c r="F69">
        <v>280</v>
      </c>
      <c r="G69" t="s">
        <v>14</v>
      </c>
      <c r="H69" s="9">
        <v>0.18573999999999999</v>
      </c>
      <c r="I69" s="14" t="s">
        <v>58</v>
      </c>
      <c r="J69" s="13">
        <f t="shared" si="3"/>
        <v>52.007199999999997</v>
      </c>
      <c r="K69" t="b">
        <v>0</v>
      </c>
      <c r="L69">
        <v>1</v>
      </c>
      <c r="M69" t="s">
        <v>15</v>
      </c>
    </row>
    <row r="70" spans="1:16" ht="15.6" x14ac:dyDescent="0.35">
      <c r="A70" t="s">
        <v>0</v>
      </c>
      <c r="B70" t="s">
        <v>1</v>
      </c>
      <c r="C70">
        <v>2025</v>
      </c>
      <c r="D70" t="s">
        <v>48</v>
      </c>
      <c r="E70" t="s">
        <v>23</v>
      </c>
      <c r="F70">
        <v>576</v>
      </c>
      <c r="G70" t="s">
        <v>14</v>
      </c>
      <c r="H70" s="9">
        <v>0.18573999999999999</v>
      </c>
      <c r="I70" s="16" t="s">
        <v>58</v>
      </c>
      <c r="J70" s="13">
        <f t="shared" si="3"/>
        <v>106.98624</v>
      </c>
      <c r="K70" t="b">
        <v>1</v>
      </c>
      <c r="L70">
        <v>0</v>
      </c>
      <c r="M70" t="s">
        <v>20</v>
      </c>
    </row>
    <row r="71" spans="1:16" x14ac:dyDescent="0.3">
      <c r="H71" s="11"/>
      <c r="I71" s="10"/>
      <c r="L71">
        <v>1</v>
      </c>
      <c r="M71" t="s">
        <v>5</v>
      </c>
    </row>
    <row r="72" spans="1:16" ht="15.6" x14ac:dyDescent="0.35">
      <c r="A72" t="s">
        <v>0</v>
      </c>
      <c r="B72" t="s">
        <v>1</v>
      </c>
      <c r="C72">
        <v>2025</v>
      </c>
      <c r="D72" t="s">
        <v>49</v>
      </c>
      <c r="E72" t="s">
        <v>3</v>
      </c>
      <c r="F72">
        <v>3455</v>
      </c>
      <c r="G72" t="s">
        <v>4</v>
      </c>
      <c r="H72" s="15">
        <v>0.20263999999999999</v>
      </c>
      <c r="I72" s="14" t="s">
        <v>58</v>
      </c>
      <c r="J72" s="13">
        <f t="shared" ref="J72:J76" si="4">(F72*H72)</f>
        <v>700.12119999999993</v>
      </c>
      <c r="K72" t="b">
        <v>1</v>
      </c>
      <c r="O72">
        <f>(J72+J73+J74+J79+J80+J83+J84+J85)</f>
        <v>1789.2106200000003</v>
      </c>
      <c r="P72">
        <f>(J75+J76+J77+J78+J81)</f>
        <v>490.72670000000005</v>
      </c>
    </row>
    <row r="73" spans="1:16" ht="15.6" x14ac:dyDescent="0.35">
      <c r="A73" t="s">
        <v>0</v>
      </c>
      <c r="B73" t="s">
        <v>1</v>
      </c>
      <c r="C73">
        <v>2025</v>
      </c>
      <c r="D73" t="s">
        <v>49</v>
      </c>
      <c r="E73" t="s">
        <v>6</v>
      </c>
      <c r="F73">
        <v>954</v>
      </c>
      <c r="G73" t="s">
        <v>4</v>
      </c>
      <c r="H73" s="15">
        <v>0.26807999999999998</v>
      </c>
      <c r="I73" s="14" t="s">
        <v>58</v>
      </c>
      <c r="J73" s="13">
        <f t="shared" si="4"/>
        <v>255.74831999999998</v>
      </c>
      <c r="K73" t="b">
        <v>1</v>
      </c>
      <c r="L73">
        <v>1</v>
      </c>
      <c r="M73" t="s">
        <v>5</v>
      </c>
    </row>
    <row r="74" spans="1:16" ht="15.6" x14ac:dyDescent="0.35">
      <c r="A74" t="s">
        <v>0</v>
      </c>
      <c r="B74" t="s">
        <v>1</v>
      </c>
      <c r="C74">
        <v>2025</v>
      </c>
      <c r="D74" t="s">
        <v>49</v>
      </c>
      <c r="E74" t="s">
        <v>7</v>
      </c>
      <c r="F74">
        <v>970</v>
      </c>
      <c r="G74" t="s">
        <v>4</v>
      </c>
      <c r="H74" s="15">
        <v>0.23030999999999999</v>
      </c>
      <c r="I74" s="14" t="s">
        <v>58</v>
      </c>
      <c r="J74" s="13">
        <f t="shared" si="4"/>
        <v>223.4007</v>
      </c>
      <c r="K74" t="b">
        <v>1</v>
      </c>
      <c r="L74">
        <v>1</v>
      </c>
      <c r="M74" t="s">
        <v>5</v>
      </c>
    </row>
    <row r="75" spans="1:16" ht="15.6" x14ac:dyDescent="0.35">
      <c r="A75" t="s">
        <v>0</v>
      </c>
      <c r="B75" t="s">
        <v>1</v>
      </c>
      <c r="C75">
        <v>2025</v>
      </c>
      <c r="D75" t="s">
        <v>49</v>
      </c>
      <c r="E75" t="s">
        <v>8</v>
      </c>
      <c r="F75">
        <v>2033</v>
      </c>
      <c r="G75" t="s">
        <v>4</v>
      </c>
      <c r="H75" s="15">
        <v>0</v>
      </c>
      <c r="I75" s="14" t="s">
        <v>58</v>
      </c>
      <c r="J75" s="13">
        <f t="shared" si="4"/>
        <v>0</v>
      </c>
      <c r="K75" t="b">
        <v>1</v>
      </c>
      <c r="L75">
        <v>1</v>
      </c>
      <c r="M75" t="s">
        <v>5</v>
      </c>
    </row>
    <row r="76" spans="1:16" ht="15.6" x14ac:dyDescent="0.35">
      <c r="A76" t="s">
        <v>0</v>
      </c>
      <c r="B76" t="s">
        <v>1</v>
      </c>
      <c r="C76">
        <v>2025</v>
      </c>
      <c r="D76" t="s">
        <v>49</v>
      </c>
      <c r="E76" t="s">
        <v>10</v>
      </c>
      <c r="F76">
        <v>1559</v>
      </c>
      <c r="G76" t="s">
        <v>4</v>
      </c>
      <c r="H76" s="15">
        <v>0.20705000000000001</v>
      </c>
      <c r="I76" s="14" t="s">
        <v>58</v>
      </c>
      <c r="J76" s="13">
        <f t="shared" si="4"/>
        <v>322.79095000000001</v>
      </c>
      <c r="K76" t="b">
        <v>1</v>
      </c>
      <c r="L76">
        <v>1</v>
      </c>
      <c r="M76" t="s">
        <v>9</v>
      </c>
    </row>
    <row r="77" spans="1:16" ht="15.6" x14ac:dyDescent="0.35">
      <c r="A77" t="s">
        <v>0</v>
      </c>
      <c r="B77" t="s">
        <v>1</v>
      </c>
      <c r="C77">
        <v>2025</v>
      </c>
      <c r="D77" t="s">
        <v>49</v>
      </c>
      <c r="E77" t="s">
        <v>11</v>
      </c>
      <c r="F77">
        <v>130</v>
      </c>
      <c r="G77" t="s">
        <v>4</v>
      </c>
      <c r="H77" s="8">
        <v>0.20263999999999999</v>
      </c>
      <c r="I77" s="14" t="s">
        <v>58</v>
      </c>
      <c r="J77" s="13">
        <f>(F77*H77)</f>
        <v>26.3432</v>
      </c>
      <c r="K77" t="b">
        <v>1</v>
      </c>
      <c r="L77">
        <v>1</v>
      </c>
      <c r="M77" t="s">
        <v>5</v>
      </c>
    </row>
    <row r="78" spans="1:16" ht="15.6" x14ac:dyDescent="0.35">
      <c r="A78" t="s">
        <v>0</v>
      </c>
      <c r="B78" t="s">
        <v>1</v>
      </c>
      <c r="C78">
        <v>2025</v>
      </c>
      <c r="D78" t="s">
        <v>49</v>
      </c>
      <c r="E78" t="s">
        <v>12</v>
      </c>
      <c r="F78">
        <v>541</v>
      </c>
      <c r="G78" t="s">
        <v>4</v>
      </c>
      <c r="H78" s="12">
        <v>0.17965</v>
      </c>
      <c r="I78" s="14" t="s">
        <v>58</v>
      </c>
      <c r="J78" s="13">
        <f>(F78*H78)</f>
        <v>97.190650000000005</v>
      </c>
      <c r="K78" t="b">
        <v>1</v>
      </c>
      <c r="L78">
        <v>1</v>
      </c>
      <c r="M78" t="s">
        <v>5</v>
      </c>
    </row>
    <row r="79" spans="1:16" ht="15.6" x14ac:dyDescent="0.35">
      <c r="A79" t="s">
        <v>0</v>
      </c>
      <c r="B79" t="s">
        <v>1</v>
      </c>
      <c r="C79">
        <v>2025</v>
      </c>
      <c r="D79" t="s">
        <v>49</v>
      </c>
      <c r="E79" t="s">
        <v>13</v>
      </c>
      <c r="F79">
        <v>457</v>
      </c>
      <c r="G79" t="s">
        <v>14</v>
      </c>
      <c r="H79" s="22">
        <v>0.34399999999999997</v>
      </c>
      <c r="I79" s="14" t="s">
        <v>58</v>
      </c>
      <c r="J79" s="13">
        <f t="shared" ref="J79:J85" si="5">(F79*H79)</f>
        <v>157.208</v>
      </c>
      <c r="K79" t="b">
        <v>1</v>
      </c>
      <c r="L79">
        <v>1</v>
      </c>
      <c r="M79" t="s">
        <v>5</v>
      </c>
    </row>
    <row r="80" spans="1:16" ht="15.6" x14ac:dyDescent="0.35">
      <c r="A80" t="s">
        <v>0</v>
      </c>
      <c r="B80" t="s">
        <v>1</v>
      </c>
      <c r="C80">
        <v>2025</v>
      </c>
      <c r="D80" t="s">
        <v>49</v>
      </c>
      <c r="E80" t="s">
        <v>16</v>
      </c>
      <c r="F80">
        <v>405</v>
      </c>
      <c r="G80" t="s">
        <v>14</v>
      </c>
      <c r="H80" s="22">
        <v>0.54</v>
      </c>
      <c r="I80" s="14" t="s">
        <v>58</v>
      </c>
      <c r="J80" s="13">
        <f t="shared" si="5"/>
        <v>218.70000000000002</v>
      </c>
      <c r="K80" t="b">
        <v>0</v>
      </c>
      <c r="L80">
        <v>1</v>
      </c>
      <c r="M80" t="s">
        <v>15</v>
      </c>
    </row>
    <row r="81" spans="1:16" ht="15.6" x14ac:dyDescent="0.35">
      <c r="A81" t="s">
        <v>0</v>
      </c>
      <c r="B81" t="s">
        <v>1</v>
      </c>
      <c r="C81">
        <v>2025</v>
      </c>
      <c r="D81" t="s">
        <v>49</v>
      </c>
      <c r="E81" t="s">
        <v>18</v>
      </c>
      <c r="F81">
        <v>290</v>
      </c>
      <c r="G81" t="s">
        <v>14</v>
      </c>
      <c r="H81" s="43">
        <v>0.15311</v>
      </c>
      <c r="I81" s="14" t="s">
        <v>58</v>
      </c>
      <c r="J81" s="13">
        <f t="shared" si="5"/>
        <v>44.401899999999998</v>
      </c>
      <c r="K81" t="b">
        <v>1</v>
      </c>
      <c r="L81">
        <v>0</v>
      </c>
      <c r="M81" t="s">
        <v>17</v>
      </c>
    </row>
    <row r="82" spans="1:16" ht="15.6" x14ac:dyDescent="0.35">
      <c r="A82" t="s">
        <v>0</v>
      </c>
      <c r="B82" t="s">
        <v>1</v>
      </c>
      <c r="C82">
        <v>2025</v>
      </c>
      <c r="D82" t="s">
        <v>49</v>
      </c>
      <c r="E82" t="s">
        <v>19</v>
      </c>
      <c r="F82">
        <v>169</v>
      </c>
      <c r="G82" t="s">
        <v>14</v>
      </c>
      <c r="H82" s="17">
        <v>0</v>
      </c>
      <c r="I82" s="14" t="s">
        <v>58</v>
      </c>
      <c r="J82" s="13">
        <f t="shared" si="5"/>
        <v>0</v>
      </c>
      <c r="K82" t="b">
        <v>0</v>
      </c>
      <c r="L82">
        <v>1</v>
      </c>
      <c r="M82" t="s">
        <v>5</v>
      </c>
    </row>
    <row r="83" spans="1:16" ht="15.6" x14ac:dyDescent="0.35">
      <c r="A83" t="s">
        <v>0</v>
      </c>
      <c r="B83" t="s">
        <v>1</v>
      </c>
      <c r="C83">
        <v>2025</v>
      </c>
      <c r="D83" t="s">
        <v>49</v>
      </c>
      <c r="E83" t="s">
        <v>21</v>
      </c>
      <c r="F83">
        <v>369</v>
      </c>
      <c r="G83" t="s">
        <v>14</v>
      </c>
      <c r="H83" s="9">
        <v>0.18573999999999999</v>
      </c>
      <c r="I83" s="14" t="s">
        <v>58</v>
      </c>
      <c r="J83" s="13">
        <f t="shared" si="5"/>
        <v>68.538060000000002</v>
      </c>
      <c r="K83" t="b">
        <v>1</v>
      </c>
      <c r="L83">
        <v>0</v>
      </c>
      <c r="M83" t="s">
        <v>20</v>
      </c>
    </row>
    <row r="84" spans="1:16" ht="15.6" x14ac:dyDescent="0.35">
      <c r="A84" t="s">
        <v>0</v>
      </c>
      <c r="B84" t="s">
        <v>1</v>
      </c>
      <c r="C84">
        <v>2025</v>
      </c>
      <c r="D84" t="s">
        <v>49</v>
      </c>
      <c r="E84" t="s">
        <v>22</v>
      </c>
      <c r="F84">
        <v>299</v>
      </c>
      <c r="G84" t="s">
        <v>14</v>
      </c>
      <c r="H84" s="9">
        <v>0.18573999999999999</v>
      </c>
      <c r="I84" s="14" t="s">
        <v>58</v>
      </c>
      <c r="J84" s="13">
        <f t="shared" si="5"/>
        <v>55.536259999999999</v>
      </c>
      <c r="K84" t="b">
        <v>0</v>
      </c>
      <c r="L84">
        <v>1</v>
      </c>
      <c r="M84" t="s">
        <v>15</v>
      </c>
    </row>
    <row r="85" spans="1:16" ht="15.6" x14ac:dyDescent="0.35">
      <c r="A85" t="s">
        <v>0</v>
      </c>
      <c r="B85" t="s">
        <v>1</v>
      </c>
      <c r="C85">
        <v>2025</v>
      </c>
      <c r="D85" t="s">
        <v>49</v>
      </c>
      <c r="E85" t="s">
        <v>23</v>
      </c>
      <c r="F85">
        <v>592</v>
      </c>
      <c r="G85" t="s">
        <v>14</v>
      </c>
      <c r="H85" s="9">
        <v>0.18573999999999999</v>
      </c>
      <c r="I85" s="16" t="s">
        <v>58</v>
      </c>
      <c r="J85" s="13">
        <f t="shared" si="5"/>
        <v>109.95808</v>
      </c>
      <c r="K85" t="b">
        <v>1</v>
      </c>
      <c r="L85">
        <v>0</v>
      </c>
      <c r="M85" t="s">
        <v>20</v>
      </c>
    </row>
    <row r="86" spans="1:16" x14ac:dyDescent="0.3">
      <c r="H86" s="11"/>
      <c r="I86" s="10"/>
      <c r="L86">
        <v>1</v>
      </c>
      <c r="M86" t="s">
        <v>5</v>
      </c>
    </row>
    <row r="87" spans="1:16" ht="15.6" x14ac:dyDescent="0.35">
      <c r="A87" t="s">
        <v>0</v>
      </c>
      <c r="B87" t="s">
        <v>1</v>
      </c>
      <c r="C87">
        <v>2025</v>
      </c>
      <c r="D87" t="s">
        <v>50</v>
      </c>
      <c r="E87" t="s">
        <v>3</v>
      </c>
      <c r="F87">
        <v>3125</v>
      </c>
      <c r="G87" t="s">
        <v>4</v>
      </c>
      <c r="H87" s="15">
        <v>0.20263999999999999</v>
      </c>
      <c r="I87" s="14" t="s">
        <v>58</v>
      </c>
      <c r="J87" s="13">
        <f t="shared" ref="J87:J100" si="6">(F87*H87)</f>
        <v>633.25</v>
      </c>
      <c r="K87" t="b">
        <v>1</v>
      </c>
      <c r="O87">
        <f>(J87+J88+J89+J94+J95+J98+J99+J100)</f>
        <v>1543.0754400000001</v>
      </c>
      <c r="P87">
        <f>(J90+J91+J92+J93+J96)</f>
        <v>493.51243000000005</v>
      </c>
    </row>
    <row r="88" spans="1:16" ht="15.6" x14ac:dyDescent="0.35">
      <c r="A88" t="s">
        <v>0</v>
      </c>
      <c r="B88" t="s">
        <v>1</v>
      </c>
      <c r="C88">
        <v>2025</v>
      </c>
      <c r="D88" t="s">
        <v>50</v>
      </c>
      <c r="E88" t="s">
        <v>6</v>
      </c>
      <c r="F88">
        <v>374</v>
      </c>
      <c r="G88" t="s">
        <v>4</v>
      </c>
      <c r="H88" s="15">
        <v>0.26807999999999998</v>
      </c>
      <c r="I88" s="14" t="s">
        <v>58</v>
      </c>
      <c r="J88" s="13">
        <f t="shared" si="6"/>
        <v>100.26191999999999</v>
      </c>
      <c r="K88" t="b">
        <v>1</v>
      </c>
      <c r="L88">
        <v>1</v>
      </c>
      <c r="M88" t="s">
        <v>5</v>
      </c>
    </row>
    <row r="89" spans="1:16" ht="15.6" x14ac:dyDescent="0.35">
      <c r="A89" t="s">
        <v>0</v>
      </c>
      <c r="B89" t="s">
        <v>1</v>
      </c>
      <c r="C89">
        <v>2025</v>
      </c>
      <c r="D89" t="s">
        <v>50</v>
      </c>
      <c r="E89" t="s">
        <v>7</v>
      </c>
      <c r="F89">
        <v>896</v>
      </c>
      <c r="G89" t="s">
        <v>4</v>
      </c>
      <c r="H89" s="15">
        <v>0.23030999999999999</v>
      </c>
      <c r="I89" s="14" t="s">
        <v>58</v>
      </c>
      <c r="J89" s="13">
        <f t="shared" si="6"/>
        <v>206.35775999999998</v>
      </c>
      <c r="K89" t="b">
        <v>1</v>
      </c>
      <c r="L89">
        <v>1</v>
      </c>
      <c r="M89" t="s">
        <v>5</v>
      </c>
    </row>
    <row r="90" spans="1:16" ht="15.6" x14ac:dyDescent="0.35">
      <c r="A90" t="s">
        <v>0</v>
      </c>
      <c r="B90" t="s">
        <v>1</v>
      </c>
      <c r="C90">
        <v>2025</v>
      </c>
      <c r="D90" t="s">
        <v>50</v>
      </c>
      <c r="E90" t="s">
        <v>8</v>
      </c>
      <c r="F90">
        <v>1744</v>
      </c>
      <c r="G90" t="s">
        <v>4</v>
      </c>
      <c r="H90" s="15">
        <v>0</v>
      </c>
      <c r="I90" s="14" t="s">
        <v>58</v>
      </c>
      <c r="J90" s="13">
        <f t="shared" si="6"/>
        <v>0</v>
      </c>
      <c r="K90" t="b">
        <v>1</v>
      </c>
      <c r="L90">
        <v>1</v>
      </c>
      <c r="M90" t="s">
        <v>5</v>
      </c>
    </row>
    <row r="91" spans="1:16" ht="15.6" x14ac:dyDescent="0.35">
      <c r="A91" t="s">
        <v>0</v>
      </c>
      <c r="B91" t="s">
        <v>1</v>
      </c>
      <c r="C91">
        <v>2025</v>
      </c>
      <c r="D91" t="s">
        <v>50</v>
      </c>
      <c r="E91" t="s">
        <v>10</v>
      </c>
      <c r="F91">
        <v>1577</v>
      </c>
      <c r="G91" t="s">
        <v>4</v>
      </c>
      <c r="H91" s="15">
        <v>0.20705000000000001</v>
      </c>
      <c r="I91" s="14" t="s">
        <v>58</v>
      </c>
      <c r="J91" s="13">
        <f t="shared" si="6"/>
        <v>326.51785000000001</v>
      </c>
      <c r="K91" t="b">
        <v>1</v>
      </c>
      <c r="L91">
        <v>1</v>
      </c>
      <c r="M91" t="s">
        <v>9</v>
      </c>
    </row>
    <row r="92" spans="1:16" ht="15.6" x14ac:dyDescent="0.35">
      <c r="A92" t="s">
        <v>0</v>
      </c>
      <c r="B92" t="s">
        <v>1</v>
      </c>
      <c r="C92">
        <v>2025</v>
      </c>
      <c r="D92" t="s">
        <v>50</v>
      </c>
      <c r="E92" t="s">
        <v>11</v>
      </c>
      <c r="F92">
        <v>126</v>
      </c>
      <c r="G92" t="s">
        <v>4</v>
      </c>
      <c r="H92" s="8">
        <v>0.20263999999999999</v>
      </c>
      <c r="I92" s="14" t="s">
        <v>58</v>
      </c>
      <c r="J92" s="13">
        <f t="shared" si="6"/>
        <v>25.532639999999997</v>
      </c>
      <c r="K92" t="b">
        <v>1</v>
      </c>
      <c r="L92">
        <v>1</v>
      </c>
      <c r="M92" t="s">
        <v>5</v>
      </c>
    </row>
    <row r="93" spans="1:16" ht="15.6" x14ac:dyDescent="0.35">
      <c r="A93" t="s">
        <v>0</v>
      </c>
      <c r="B93" t="s">
        <v>1</v>
      </c>
      <c r="C93">
        <v>2025</v>
      </c>
      <c r="D93" t="s">
        <v>50</v>
      </c>
      <c r="E93" t="s">
        <v>12</v>
      </c>
      <c r="F93">
        <v>588</v>
      </c>
      <c r="G93" t="s">
        <v>4</v>
      </c>
      <c r="H93" s="12">
        <v>0.17965</v>
      </c>
      <c r="I93" s="14" t="s">
        <v>58</v>
      </c>
      <c r="J93" s="13">
        <f t="shared" si="6"/>
        <v>105.63420000000001</v>
      </c>
      <c r="K93" t="b">
        <v>1</v>
      </c>
      <c r="L93">
        <v>1</v>
      </c>
      <c r="M93" t="s">
        <v>5</v>
      </c>
    </row>
    <row r="94" spans="1:16" ht="15.6" x14ac:dyDescent="0.35">
      <c r="A94" t="s">
        <v>0</v>
      </c>
      <c r="B94" t="s">
        <v>1</v>
      </c>
      <c r="C94">
        <v>2025</v>
      </c>
      <c r="D94" t="s">
        <v>50</v>
      </c>
      <c r="E94" t="s">
        <v>13</v>
      </c>
      <c r="F94">
        <v>460</v>
      </c>
      <c r="G94" t="s">
        <v>14</v>
      </c>
      <c r="H94" s="22">
        <v>0.34399999999999997</v>
      </c>
      <c r="I94" s="14" t="s">
        <v>58</v>
      </c>
      <c r="J94" s="13">
        <f t="shared" si="6"/>
        <v>158.23999999999998</v>
      </c>
      <c r="K94" t="b">
        <v>1</v>
      </c>
      <c r="L94">
        <v>1</v>
      </c>
      <c r="M94" t="s">
        <v>5</v>
      </c>
    </row>
    <row r="95" spans="1:16" ht="15.6" x14ac:dyDescent="0.35">
      <c r="A95" t="s">
        <v>0</v>
      </c>
      <c r="B95" t="s">
        <v>1</v>
      </c>
      <c r="C95">
        <v>2025</v>
      </c>
      <c r="D95" t="s">
        <v>50</v>
      </c>
      <c r="E95" t="s">
        <v>16</v>
      </c>
      <c r="F95">
        <v>403</v>
      </c>
      <c r="G95" t="s">
        <v>14</v>
      </c>
      <c r="H95" s="22">
        <v>0.54</v>
      </c>
      <c r="I95" s="14" t="s">
        <v>58</v>
      </c>
      <c r="J95" s="13">
        <f t="shared" si="6"/>
        <v>217.62</v>
      </c>
      <c r="K95" t="b">
        <v>0</v>
      </c>
      <c r="L95">
        <v>1</v>
      </c>
      <c r="M95" t="s">
        <v>15</v>
      </c>
    </row>
    <row r="96" spans="1:16" ht="15.6" x14ac:dyDescent="0.35">
      <c r="A96" t="s">
        <v>0</v>
      </c>
      <c r="B96" t="s">
        <v>1</v>
      </c>
      <c r="C96">
        <v>2025</v>
      </c>
      <c r="D96" t="s">
        <v>50</v>
      </c>
      <c r="E96" t="s">
        <v>18</v>
      </c>
      <c r="F96">
        <v>234</v>
      </c>
      <c r="G96" t="s">
        <v>14</v>
      </c>
      <c r="H96" s="43">
        <v>0.15311</v>
      </c>
      <c r="I96" s="14" t="s">
        <v>58</v>
      </c>
      <c r="J96" s="13">
        <f t="shared" si="6"/>
        <v>35.827739999999999</v>
      </c>
      <c r="K96" t="b">
        <v>1</v>
      </c>
      <c r="L96">
        <v>0</v>
      </c>
      <c r="M96" t="s">
        <v>17</v>
      </c>
    </row>
    <row r="97" spans="1:16" ht="15.6" x14ac:dyDescent="0.35">
      <c r="A97" t="s">
        <v>0</v>
      </c>
      <c r="B97" t="s">
        <v>1</v>
      </c>
      <c r="C97">
        <v>2025</v>
      </c>
      <c r="D97" t="s">
        <v>50</v>
      </c>
      <c r="E97" t="s">
        <v>19</v>
      </c>
      <c r="F97">
        <v>199</v>
      </c>
      <c r="G97" t="s">
        <v>14</v>
      </c>
      <c r="H97" s="17">
        <v>0</v>
      </c>
      <c r="I97" s="14" t="s">
        <v>58</v>
      </c>
      <c r="J97" s="13">
        <f t="shared" si="6"/>
        <v>0</v>
      </c>
      <c r="K97" t="b">
        <v>0</v>
      </c>
      <c r="L97">
        <v>1</v>
      </c>
      <c r="M97" t="s">
        <v>5</v>
      </c>
    </row>
    <row r="98" spans="1:16" ht="15.6" x14ac:dyDescent="0.35">
      <c r="A98" t="s">
        <v>0</v>
      </c>
      <c r="B98" t="s">
        <v>1</v>
      </c>
      <c r="C98">
        <v>2025</v>
      </c>
      <c r="D98" t="s">
        <v>50</v>
      </c>
      <c r="E98" t="s">
        <v>21</v>
      </c>
      <c r="F98">
        <v>331</v>
      </c>
      <c r="G98" t="s">
        <v>14</v>
      </c>
      <c r="H98" s="9">
        <v>0.18573999999999999</v>
      </c>
      <c r="I98" s="14" t="s">
        <v>58</v>
      </c>
      <c r="J98" s="13">
        <f t="shared" si="6"/>
        <v>61.479939999999999</v>
      </c>
      <c r="K98" t="b">
        <v>1</v>
      </c>
      <c r="L98">
        <v>0</v>
      </c>
      <c r="M98" t="s">
        <v>20</v>
      </c>
    </row>
    <row r="99" spans="1:16" ht="15.6" x14ac:dyDescent="0.35">
      <c r="A99" t="s">
        <v>0</v>
      </c>
      <c r="B99" t="s">
        <v>1</v>
      </c>
      <c r="C99">
        <v>2025</v>
      </c>
      <c r="D99" t="s">
        <v>50</v>
      </c>
      <c r="E99" t="s">
        <v>22</v>
      </c>
      <c r="F99">
        <v>290</v>
      </c>
      <c r="G99" t="s">
        <v>14</v>
      </c>
      <c r="H99" s="9">
        <v>0.18573999999999999</v>
      </c>
      <c r="I99" s="14" t="s">
        <v>58</v>
      </c>
      <c r="J99" s="13">
        <f t="shared" si="6"/>
        <v>53.864599999999996</v>
      </c>
      <c r="K99" t="b">
        <v>0</v>
      </c>
      <c r="L99">
        <v>1</v>
      </c>
      <c r="M99" t="s">
        <v>15</v>
      </c>
    </row>
    <row r="100" spans="1:16" ht="15.6" x14ac:dyDescent="0.35">
      <c r="A100" t="s">
        <v>0</v>
      </c>
      <c r="B100" t="s">
        <v>1</v>
      </c>
      <c r="C100">
        <v>2025</v>
      </c>
      <c r="D100" t="s">
        <v>50</v>
      </c>
      <c r="E100" t="s">
        <v>23</v>
      </c>
      <c r="F100">
        <v>603</v>
      </c>
      <c r="G100" t="s">
        <v>14</v>
      </c>
      <c r="H100" s="9">
        <v>0.18573999999999999</v>
      </c>
      <c r="I100" s="16" t="s">
        <v>58</v>
      </c>
      <c r="J100" s="13">
        <f t="shared" si="6"/>
        <v>112.00121999999999</v>
      </c>
      <c r="K100" t="b">
        <v>1</v>
      </c>
      <c r="L100">
        <v>0</v>
      </c>
      <c r="M100" t="s">
        <v>20</v>
      </c>
    </row>
    <row r="101" spans="1:16" x14ac:dyDescent="0.3">
      <c r="H101" s="11"/>
      <c r="I101" s="10"/>
      <c r="L101">
        <v>1</v>
      </c>
      <c r="M101" t="s">
        <v>5</v>
      </c>
    </row>
    <row r="102" spans="1:16" ht="15.6" x14ac:dyDescent="0.35">
      <c r="A102" t="s">
        <v>0</v>
      </c>
      <c r="B102" t="s">
        <v>1</v>
      </c>
      <c r="C102">
        <v>2025</v>
      </c>
      <c r="D102" t="s">
        <v>51</v>
      </c>
      <c r="E102" t="s">
        <v>3</v>
      </c>
      <c r="F102">
        <v>3522</v>
      </c>
      <c r="G102" t="s">
        <v>4</v>
      </c>
      <c r="H102" s="15">
        <v>0.20263999999999999</v>
      </c>
      <c r="I102" s="14" t="s">
        <v>58</v>
      </c>
      <c r="J102" s="13">
        <f t="shared" ref="J102:J106" si="7">(F102*H102)</f>
        <v>713.69808</v>
      </c>
      <c r="K102" t="b">
        <v>1</v>
      </c>
      <c r="O102">
        <f>(J102+J103+J104+J109+J110+J113+J114+J115)</f>
        <v>1689.61196</v>
      </c>
      <c r="P102">
        <f>(J105+J106+J107+J108+J111)</f>
        <v>1655.0137299999999</v>
      </c>
    </row>
    <row r="103" spans="1:16" ht="15.6" x14ac:dyDescent="0.35">
      <c r="A103" t="s">
        <v>0</v>
      </c>
      <c r="B103" t="s">
        <v>1</v>
      </c>
      <c r="C103">
        <v>2025</v>
      </c>
      <c r="D103" t="s">
        <v>51</v>
      </c>
      <c r="E103" t="s">
        <v>6</v>
      </c>
      <c r="F103">
        <v>724</v>
      </c>
      <c r="G103" t="s">
        <v>4</v>
      </c>
      <c r="H103" s="15">
        <v>0.26807999999999998</v>
      </c>
      <c r="I103" s="14" t="s">
        <v>58</v>
      </c>
      <c r="J103" s="13">
        <f t="shared" si="7"/>
        <v>194.08991999999998</v>
      </c>
      <c r="K103" t="b">
        <v>1</v>
      </c>
      <c r="L103">
        <v>1</v>
      </c>
      <c r="M103" t="s">
        <v>5</v>
      </c>
    </row>
    <row r="104" spans="1:16" ht="15.6" x14ac:dyDescent="0.35">
      <c r="A104" t="s">
        <v>0</v>
      </c>
      <c r="B104" t="s">
        <v>1</v>
      </c>
      <c r="C104">
        <v>2025</v>
      </c>
      <c r="D104" t="s">
        <v>51</v>
      </c>
      <c r="E104" t="s">
        <v>7</v>
      </c>
      <c r="F104">
        <v>810</v>
      </c>
      <c r="G104" t="s">
        <v>4</v>
      </c>
      <c r="H104" s="15">
        <v>0.23030999999999999</v>
      </c>
      <c r="I104" s="14" t="s">
        <v>58</v>
      </c>
      <c r="J104" s="13">
        <f t="shared" si="7"/>
        <v>186.55109999999999</v>
      </c>
      <c r="K104" t="b">
        <v>1</v>
      </c>
      <c r="L104">
        <v>1</v>
      </c>
      <c r="M104" t="s">
        <v>5</v>
      </c>
    </row>
    <row r="105" spans="1:16" ht="15.6" x14ac:dyDescent="0.35">
      <c r="A105" t="s">
        <v>0</v>
      </c>
      <c r="B105" t="s">
        <v>1</v>
      </c>
      <c r="C105">
        <v>2025</v>
      </c>
      <c r="D105" t="s">
        <v>51</v>
      </c>
      <c r="E105" t="s">
        <v>8</v>
      </c>
      <c r="F105">
        <v>2123</v>
      </c>
      <c r="G105" t="s">
        <v>4</v>
      </c>
      <c r="H105" s="15">
        <v>0</v>
      </c>
      <c r="I105" s="14" t="s">
        <v>58</v>
      </c>
      <c r="J105" s="13">
        <f t="shared" si="7"/>
        <v>0</v>
      </c>
      <c r="K105" t="b">
        <v>1</v>
      </c>
      <c r="L105">
        <v>1</v>
      </c>
      <c r="M105" t="s">
        <v>5</v>
      </c>
    </row>
    <row r="106" spans="1:16" ht="15.6" x14ac:dyDescent="0.35">
      <c r="A106" t="s">
        <v>0</v>
      </c>
      <c r="B106" t="s">
        <v>1</v>
      </c>
      <c r="C106">
        <v>2025</v>
      </c>
      <c r="D106" t="s">
        <v>51</v>
      </c>
      <c r="E106" t="s">
        <v>10</v>
      </c>
      <c r="F106">
        <v>7143</v>
      </c>
      <c r="G106" t="s">
        <v>4</v>
      </c>
      <c r="H106" s="15">
        <v>0.20705000000000001</v>
      </c>
      <c r="I106" s="14" t="s">
        <v>58</v>
      </c>
      <c r="J106" s="13">
        <f t="shared" si="7"/>
        <v>1478.9581500000002</v>
      </c>
      <c r="K106" t="b">
        <v>1</v>
      </c>
      <c r="L106">
        <v>1</v>
      </c>
      <c r="M106" t="s">
        <v>9</v>
      </c>
    </row>
    <row r="107" spans="1:16" ht="15.6" x14ac:dyDescent="0.35">
      <c r="A107" t="s">
        <v>0</v>
      </c>
      <c r="B107" t="s">
        <v>1</v>
      </c>
      <c r="C107">
        <v>2025</v>
      </c>
      <c r="D107" t="s">
        <v>51</v>
      </c>
      <c r="E107" t="s">
        <v>11</v>
      </c>
      <c r="F107">
        <v>231</v>
      </c>
      <c r="G107" t="s">
        <v>4</v>
      </c>
      <c r="H107" s="8">
        <v>0.20263999999999999</v>
      </c>
      <c r="I107" s="14" t="s">
        <v>58</v>
      </c>
      <c r="J107" s="13">
        <f>(F107*H107)</f>
        <v>46.809839999999994</v>
      </c>
      <c r="K107" t="b">
        <v>1</v>
      </c>
      <c r="L107">
        <v>1</v>
      </c>
      <c r="M107" t="s">
        <v>5</v>
      </c>
    </row>
    <row r="108" spans="1:16" ht="15.6" x14ac:dyDescent="0.35">
      <c r="A108" t="s">
        <v>0</v>
      </c>
      <c r="B108" t="s">
        <v>1</v>
      </c>
      <c r="C108">
        <v>2025</v>
      </c>
      <c r="D108" t="s">
        <v>51</v>
      </c>
      <c r="E108" t="s">
        <v>12</v>
      </c>
      <c r="F108">
        <v>520</v>
      </c>
      <c r="G108" t="s">
        <v>4</v>
      </c>
      <c r="H108" s="12">
        <v>0.17965</v>
      </c>
      <c r="I108" s="14" t="s">
        <v>58</v>
      </c>
      <c r="J108" s="13">
        <f>(F108*H108)</f>
        <v>93.418000000000006</v>
      </c>
      <c r="K108" t="b">
        <v>1</v>
      </c>
      <c r="L108">
        <v>1</v>
      </c>
      <c r="M108" t="s">
        <v>5</v>
      </c>
    </row>
    <row r="109" spans="1:16" ht="15.6" x14ac:dyDescent="0.35">
      <c r="A109" t="s">
        <v>0</v>
      </c>
      <c r="B109" t="s">
        <v>1</v>
      </c>
      <c r="C109">
        <v>2025</v>
      </c>
      <c r="D109" t="s">
        <v>51</v>
      </c>
      <c r="E109" t="s">
        <v>13</v>
      </c>
      <c r="F109">
        <v>437</v>
      </c>
      <c r="G109" t="s">
        <v>14</v>
      </c>
      <c r="H109" s="22">
        <v>0.34399999999999997</v>
      </c>
      <c r="I109" s="14" t="s">
        <v>58</v>
      </c>
      <c r="J109" s="13">
        <f t="shared" ref="J109:J115" si="8">(F109*H109)</f>
        <v>150.32799999999997</v>
      </c>
      <c r="K109" t="b">
        <v>1</v>
      </c>
      <c r="L109">
        <v>1</v>
      </c>
      <c r="M109" t="s">
        <v>5</v>
      </c>
    </row>
    <row r="110" spans="1:16" ht="15.6" x14ac:dyDescent="0.35">
      <c r="A110" t="s">
        <v>0</v>
      </c>
      <c r="B110" t="s">
        <v>1</v>
      </c>
      <c r="C110">
        <v>2025</v>
      </c>
      <c r="D110" t="s">
        <v>51</v>
      </c>
      <c r="E110" t="s">
        <v>16</v>
      </c>
      <c r="F110">
        <v>415</v>
      </c>
      <c r="G110" t="s">
        <v>14</v>
      </c>
      <c r="H110" s="22">
        <v>0.54</v>
      </c>
      <c r="I110" s="14" t="s">
        <v>58</v>
      </c>
      <c r="J110" s="13">
        <f t="shared" si="8"/>
        <v>224.10000000000002</v>
      </c>
      <c r="K110" t="b">
        <v>0</v>
      </c>
      <c r="L110">
        <v>1</v>
      </c>
      <c r="M110" t="s">
        <v>15</v>
      </c>
    </row>
    <row r="111" spans="1:16" ht="15.6" x14ac:dyDescent="0.35">
      <c r="A111" t="s">
        <v>0</v>
      </c>
      <c r="B111" t="s">
        <v>1</v>
      </c>
      <c r="C111">
        <v>2025</v>
      </c>
      <c r="D111" t="s">
        <v>51</v>
      </c>
      <c r="E111" t="s">
        <v>18</v>
      </c>
      <c r="F111">
        <v>234</v>
      </c>
      <c r="G111" t="s">
        <v>14</v>
      </c>
      <c r="H111" s="43">
        <v>0.15311</v>
      </c>
      <c r="I111" s="14" t="s">
        <v>58</v>
      </c>
      <c r="J111" s="13">
        <f t="shared" si="8"/>
        <v>35.827739999999999</v>
      </c>
      <c r="K111" t="b">
        <v>1</v>
      </c>
      <c r="L111">
        <v>0</v>
      </c>
      <c r="M111" t="s">
        <v>17</v>
      </c>
    </row>
    <row r="112" spans="1:16" ht="15.6" x14ac:dyDescent="0.35">
      <c r="A112" t="s">
        <v>0</v>
      </c>
      <c r="B112" t="s">
        <v>1</v>
      </c>
      <c r="C112">
        <v>2025</v>
      </c>
      <c r="D112" t="s">
        <v>51</v>
      </c>
      <c r="E112" t="s">
        <v>19</v>
      </c>
      <c r="F112">
        <v>65</v>
      </c>
      <c r="G112" t="s">
        <v>14</v>
      </c>
      <c r="H112" s="17">
        <v>0</v>
      </c>
      <c r="I112" s="14" t="s">
        <v>58</v>
      </c>
      <c r="J112" s="13">
        <f t="shared" si="8"/>
        <v>0</v>
      </c>
      <c r="K112" t="b">
        <v>0</v>
      </c>
      <c r="L112">
        <v>1</v>
      </c>
      <c r="M112" t="s">
        <v>5</v>
      </c>
    </row>
    <row r="113" spans="1:16" ht="15.6" x14ac:dyDescent="0.35">
      <c r="A113" t="s">
        <v>0</v>
      </c>
      <c r="B113" t="s">
        <v>1</v>
      </c>
      <c r="C113">
        <v>2025</v>
      </c>
      <c r="D113" t="s">
        <v>51</v>
      </c>
      <c r="E113" t="s">
        <v>21</v>
      </c>
      <c r="F113">
        <v>326</v>
      </c>
      <c r="G113" t="s">
        <v>14</v>
      </c>
      <c r="H113" s="9">
        <v>0.18573999999999999</v>
      </c>
      <c r="I113" s="14" t="s">
        <v>58</v>
      </c>
      <c r="J113" s="13">
        <f t="shared" si="8"/>
        <v>60.551239999999993</v>
      </c>
      <c r="K113" t="b">
        <v>1</v>
      </c>
      <c r="L113">
        <v>0</v>
      </c>
      <c r="M113" t="s">
        <v>20</v>
      </c>
    </row>
    <row r="114" spans="1:16" ht="15.6" x14ac:dyDescent="0.35">
      <c r="A114" t="s">
        <v>0</v>
      </c>
      <c r="B114" t="s">
        <v>1</v>
      </c>
      <c r="C114">
        <v>2025</v>
      </c>
      <c r="D114" t="s">
        <v>51</v>
      </c>
      <c r="E114" t="s">
        <v>22</v>
      </c>
      <c r="F114">
        <v>259</v>
      </c>
      <c r="G114" t="s">
        <v>14</v>
      </c>
      <c r="H114" s="9">
        <v>0.18573999999999999</v>
      </c>
      <c r="I114" s="14" t="s">
        <v>58</v>
      </c>
      <c r="J114" s="13">
        <f t="shared" si="8"/>
        <v>48.106659999999998</v>
      </c>
      <c r="K114" t="b">
        <v>0</v>
      </c>
      <c r="L114">
        <v>1</v>
      </c>
      <c r="M114" t="s">
        <v>15</v>
      </c>
    </row>
    <row r="115" spans="1:16" ht="15.6" x14ac:dyDescent="0.35">
      <c r="A115" t="s">
        <v>0</v>
      </c>
      <c r="B115" t="s">
        <v>1</v>
      </c>
      <c r="C115">
        <v>2025</v>
      </c>
      <c r="D115" t="s">
        <v>51</v>
      </c>
      <c r="E115" t="s">
        <v>23</v>
      </c>
      <c r="F115">
        <v>604</v>
      </c>
      <c r="G115" t="s">
        <v>14</v>
      </c>
      <c r="H115" s="9">
        <v>0.18573999999999999</v>
      </c>
      <c r="I115" s="16" t="s">
        <v>58</v>
      </c>
      <c r="J115" s="13">
        <f t="shared" si="8"/>
        <v>112.18696</v>
      </c>
      <c r="K115" t="b">
        <v>1</v>
      </c>
      <c r="L115">
        <v>0</v>
      </c>
      <c r="M115" t="s">
        <v>20</v>
      </c>
    </row>
    <row r="116" spans="1:16" x14ac:dyDescent="0.3">
      <c r="H116" s="11"/>
      <c r="I116" s="10"/>
      <c r="L116">
        <v>1</v>
      </c>
      <c r="M116" t="s">
        <v>5</v>
      </c>
    </row>
    <row r="117" spans="1:16" ht="15.6" x14ac:dyDescent="0.35">
      <c r="A117" t="s">
        <v>0</v>
      </c>
      <c r="B117" t="s">
        <v>1</v>
      </c>
      <c r="C117">
        <v>2025</v>
      </c>
      <c r="D117" t="s">
        <v>52</v>
      </c>
      <c r="E117" t="s">
        <v>3</v>
      </c>
      <c r="F117">
        <v>2598</v>
      </c>
      <c r="G117" t="s">
        <v>4</v>
      </c>
      <c r="H117" s="15">
        <v>0.20263999999999999</v>
      </c>
      <c r="I117" s="14" t="s">
        <v>58</v>
      </c>
      <c r="J117" s="13">
        <f t="shared" ref="J117:J130" si="9">(F117*H117)</f>
        <v>526.45871999999997</v>
      </c>
      <c r="K117" t="b">
        <v>1</v>
      </c>
      <c r="O117">
        <f>(J117+J118+J119+J124+J125+J128+J129+J130)</f>
        <v>1406.8300200000001</v>
      </c>
      <c r="P117">
        <f>(J120+J121+J122+J123+J126)</f>
        <v>654.56433000000004</v>
      </c>
    </row>
    <row r="118" spans="1:16" ht="15.6" x14ac:dyDescent="0.35">
      <c r="A118" t="s">
        <v>0</v>
      </c>
      <c r="B118" t="s">
        <v>1</v>
      </c>
      <c r="C118">
        <v>2025</v>
      </c>
      <c r="D118" t="s">
        <v>52</v>
      </c>
      <c r="E118" t="s">
        <v>6</v>
      </c>
      <c r="F118">
        <v>801</v>
      </c>
      <c r="G118" t="s">
        <v>4</v>
      </c>
      <c r="H118" s="15">
        <v>0.26807999999999998</v>
      </c>
      <c r="I118" s="14" t="s">
        <v>58</v>
      </c>
      <c r="J118" s="13">
        <f t="shared" si="9"/>
        <v>214.73208</v>
      </c>
      <c r="K118" t="b">
        <v>1</v>
      </c>
      <c r="L118">
        <v>1</v>
      </c>
      <c r="M118" t="s">
        <v>5</v>
      </c>
    </row>
    <row r="119" spans="1:16" ht="15.6" x14ac:dyDescent="0.35">
      <c r="A119" t="s">
        <v>0</v>
      </c>
      <c r="B119" t="s">
        <v>1</v>
      </c>
      <c r="C119">
        <v>2025</v>
      </c>
      <c r="D119" t="s">
        <v>52</v>
      </c>
      <c r="E119" t="s">
        <v>7</v>
      </c>
      <c r="F119">
        <v>232</v>
      </c>
      <c r="G119" t="s">
        <v>4</v>
      </c>
      <c r="H119" s="15">
        <v>0.23030999999999999</v>
      </c>
      <c r="I119" s="14" t="s">
        <v>58</v>
      </c>
      <c r="J119" s="13">
        <f t="shared" si="9"/>
        <v>53.431919999999998</v>
      </c>
      <c r="K119" t="b">
        <v>1</v>
      </c>
      <c r="L119">
        <v>1</v>
      </c>
      <c r="M119" t="s">
        <v>5</v>
      </c>
    </row>
    <row r="120" spans="1:16" ht="15.6" x14ac:dyDescent="0.35">
      <c r="A120" t="s">
        <v>0</v>
      </c>
      <c r="B120" t="s">
        <v>1</v>
      </c>
      <c r="C120">
        <v>2025</v>
      </c>
      <c r="D120" t="s">
        <v>52</v>
      </c>
      <c r="E120" t="s">
        <v>8</v>
      </c>
      <c r="F120">
        <v>2771</v>
      </c>
      <c r="G120" t="s">
        <v>4</v>
      </c>
      <c r="H120" s="15">
        <v>0</v>
      </c>
      <c r="I120" s="14" t="s">
        <v>58</v>
      </c>
      <c r="J120" s="13">
        <f t="shared" si="9"/>
        <v>0</v>
      </c>
      <c r="K120" t="b">
        <v>1</v>
      </c>
      <c r="L120">
        <v>1</v>
      </c>
      <c r="M120" t="s">
        <v>5</v>
      </c>
    </row>
    <row r="121" spans="1:16" ht="15.6" x14ac:dyDescent="0.35">
      <c r="A121" t="s">
        <v>0</v>
      </c>
      <c r="B121" t="s">
        <v>1</v>
      </c>
      <c r="C121">
        <v>2025</v>
      </c>
      <c r="D121" t="s">
        <v>52</v>
      </c>
      <c r="E121" t="s">
        <v>10</v>
      </c>
      <c r="F121">
        <v>2261</v>
      </c>
      <c r="G121" t="s">
        <v>4</v>
      </c>
      <c r="H121" s="15">
        <v>0.20705000000000001</v>
      </c>
      <c r="I121" s="14" t="s">
        <v>58</v>
      </c>
      <c r="J121" s="13">
        <f t="shared" si="9"/>
        <v>468.14005000000003</v>
      </c>
      <c r="K121" t="b">
        <v>1</v>
      </c>
      <c r="L121">
        <v>1</v>
      </c>
      <c r="M121" t="s">
        <v>9</v>
      </c>
    </row>
    <row r="122" spans="1:16" ht="15.6" x14ac:dyDescent="0.35">
      <c r="A122" t="s">
        <v>0</v>
      </c>
      <c r="B122" t="s">
        <v>1</v>
      </c>
      <c r="C122">
        <v>2025</v>
      </c>
      <c r="D122" t="s">
        <v>52</v>
      </c>
      <c r="E122" t="s">
        <v>11</v>
      </c>
      <c r="F122">
        <v>254</v>
      </c>
      <c r="G122" t="s">
        <v>4</v>
      </c>
      <c r="H122" s="8">
        <v>0.20263999999999999</v>
      </c>
      <c r="I122" s="14" t="s">
        <v>58</v>
      </c>
      <c r="J122" s="13">
        <f t="shared" si="9"/>
        <v>51.470559999999999</v>
      </c>
      <c r="K122" t="b">
        <v>1</v>
      </c>
      <c r="L122">
        <v>1</v>
      </c>
      <c r="M122" t="s">
        <v>5</v>
      </c>
    </row>
    <row r="123" spans="1:16" ht="15.6" x14ac:dyDescent="0.35">
      <c r="A123" t="s">
        <v>0</v>
      </c>
      <c r="B123" t="s">
        <v>1</v>
      </c>
      <c r="C123">
        <v>2025</v>
      </c>
      <c r="D123" t="s">
        <v>52</v>
      </c>
      <c r="E123" t="s">
        <v>12</v>
      </c>
      <c r="F123">
        <v>562</v>
      </c>
      <c r="G123" t="s">
        <v>4</v>
      </c>
      <c r="H123" s="12">
        <v>0.17965</v>
      </c>
      <c r="I123" s="14" t="s">
        <v>58</v>
      </c>
      <c r="J123" s="13">
        <f t="shared" si="9"/>
        <v>100.9633</v>
      </c>
      <c r="K123" t="b">
        <v>1</v>
      </c>
      <c r="L123">
        <v>1</v>
      </c>
      <c r="M123" t="s">
        <v>5</v>
      </c>
    </row>
    <row r="124" spans="1:16" ht="15.6" x14ac:dyDescent="0.35">
      <c r="A124" t="s">
        <v>0</v>
      </c>
      <c r="B124" t="s">
        <v>1</v>
      </c>
      <c r="C124">
        <v>2025</v>
      </c>
      <c r="D124" t="s">
        <v>52</v>
      </c>
      <c r="E124" t="s">
        <v>13</v>
      </c>
      <c r="F124">
        <v>472</v>
      </c>
      <c r="G124" t="s">
        <v>14</v>
      </c>
      <c r="H124" s="22">
        <v>0.34399999999999997</v>
      </c>
      <c r="I124" s="14" t="s">
        <v>58</v>
      </c>
      <c r="J124" s="13">
        <f t="shared" si="9"/>
        <v>162.36799999999999</v>
      </c>
      <c r="K124" t="b">
        <v>1</v>
      </c>
      <c r="L124">
        <v>1</v>
      </c>
      <c r="M124" t="s">
        <v>5</v>
      </c>
    </row>
    <row r="125" spans="1:16" ht="15.6" x14ac:dyDescent="0.35">
      <c r="A125" t="s">
        <v>0</v>
      </c>
      <c r="B125" t="s">
        <v>1</v>
      </c>
      <c r="C125">
        <v>2025</v>
      </c>
      <c r="D125" t="s">
        <v>52</v>
      </c>
      <c r="E125" t="s">
        <v>16</v>
      </c>
      <c r="F125">
        <v>422</v>
      </c>
      <c r="G125" t="s">
        <v>14</v>
      </c>
      <c r="H125" s="22">
        <v>0.54</v>
      </c>
      <c r="I125" s="14" t="s">
        <v>58</v>
      </c>
      <c r="J125" s="13">
        <f t="shared" si="9"/>
        <v>227.88000000000002</v>
      </c>
      <c r="K125" t="b">
        <v>0</v>
      </c>
      <c r="L125">
        <v>1</v>
      </c>
      <c r="M125" t="s">
        <v>15</v>
      </c>
    </row>
    <row r="126" spans="1:16" ht="15.6" x14ac:dyDescent="0.35">
      <c r="A126" t="s">
        <v>0</v>
      </c>
      <c r="B126" t="s">
        <v>1</v>
      </c>
      <c r="C126">
        <v>2025</v>
      </c>
      <c r="D126" t="s">
        <v>52</v>
      </c>
      <c r="E126" t="s">
        <v>18</v>
      </c>
      <c r="F126">
        <v>222</v>
      </c>
      <c r="G126" t="s">
        <v>14</v>
      </c>
      <c r="H126" s="43">
        <v>0.15311</v>
      </c>
      <c r="I126" s="14" t="s">
        <v>58</v>
      </c>
      <c r="J126" s="13">
        <f t="shared" si="9"/>
        <v>33.99042</v>
      </c>
      <c r="K126" t="b">
        <v>1</v>
      </c>
      <c r="L126">
        <v>0</v>
      </c>
      <c r="M126" t="s">
        <v>17</v>
      </c>
    </row>
    <row r="127" spans="1:16" ht="15.6" x14ac:dyDescent="0.35">
      <c r="A127" t="s">
        <v>0</v>
      </c>
      <c r="B127" t="s">
        <v>1</v>
      </c>
      <c r="C127">
        <v>2025</v>
      </c>
      <c r="D127" t="s">
        <v>52</v>
      </c>
      <c r="E127" t="s">
        <v>19</v>
      </c>
      <c r="F127">
        <v>160</v>
      </c>
      <c r="G127" t="s">
        <v>14</v>
      </c>
      <c r="H127" s="17">
        <v>0</v>
      </c>
      <c r="I127" s="14" t="s">
        <v>58</v>
      </c>
      <c r="J127" s="13">
        <f t="shared" si="9"/>
        <v>0</v>
      </c>
      <c r="K127" t="b">
        <v>0</v>
      </c>
      <c r="L127">
        <v>1</v>
      </c>
      <c r="M127" t="s">
        <v>5</v>
      </c>
    </row>
    <row r="128" spans="1:16" ht="15.6" x14ac:dyDescent="0.35">
      <c r="A128" t="s">
        <v>0</v>
      </c>
      <c r="B128" t="s">
        <v>1</v>
      </c>
      <c r="C128">
        <v>2025</v>
      </c>
      <c r="D128" t="s">
        <v>52</v>
      </c>
      <c r="E128" t="s">
        <v>21</v>
      </c>
      <c r="F128">
        <v>302</v>
      </c>
      <c r="G128" t="s">
        <v>14</v>
      </c>
      <c r="H128" s="9">
        <v>0.18573999999999999</v>
      </c>
      <c r="I128" s="14" t="s">
        <v>58</v>
      </c>
      <c r="J128" s="13">
        <f t="shared" si="9"/>
        <v>56.09348</v>
      </c>
      <c r="K128" t="b">
        <v>1</v>
      </c>
      <c r="L128">
        <v>0</v>
      </c>
      <c r="M128" t="s">
        <v>20</v>
      </c>
    </row>
    <row r="129" spans="1:16" ht="15.6" x14ac:dyDescent="0.35">
      <c r="A129" t="s">
        <v>0</v>
      </c>
      <c r="B129" t="s">
        <v>1</v>
      </c>
      <c r="C129">
        <v>2025</v>
      </c>
      <c r="D129" t="s">
        <v>52</v>
      </c>
      <c r="E129" t="s">
        <v>22</v>
      </c>
      <c r="F129">
        <v>277</v>
      </c>
      <c r="G129" t="s">
        <v>14</v>
      </c>
      <c r="H129" s="9">
        <v>0.18573999999999999</v>
      </c>
      <c r="I129" s="14" t="s">
        <v>58</v>
      </c>
      <c r="J129" s="13">
        <f t="shared" si="9"/>
        <v>51.449979999999996</v>
      </c>
      <c r="K129" t="b">
        <v>0</v>
      </c>
      <c r="L129">
        <v>1</v>
      </c>
      <c r="M129" t="s">
        <v>15</v>
      </c>
    </row>
    <row r="130" spans="1:16" ht="15.6" x14ac:dyDescent="0.35">
      <c r="A130" t="s">
        <v>0</v>
      </c>
      <c r="B130" t="s">
        <v>1</v>
      </c>
      <c r="C130">
        <v>2025</v>
      </c>
      <c r="D130" t="s">
        <v>52</v>
      </c>
      <c r="E130" t="s">
        <v>23</v>
      </c>
      <c r="F130">
        <v>616</v>
      </c>
      <c r="G130" t="s">
        <v>14</v>
      </c>
      <c r="H130" s="9">
        <v>0.18573999999999999</v>
      </c>
      <c r="I130" s="16" t="s">
        <v>58</v>
      </c>
      <c r="J130" s="13">
        <f t="shared" si="9"/>
        <v>114.41583999999999</v>
      </c>
      <c r="K130" t="b">
        <v>1</v>
      </c>
      <c r="L130">
        <v>0</v>
      </c>
      <c r="M130" t="s">
        <v>20</v>
      </c>
    </row>
    <row r="131" spans="1:16" x14ac:dyDescent="0.3">
      <c r="H131" s="11"/>
      <c r="I131" s="10"/>
      <c r="L131">
        <v>1</v>
      </c>
      <c r="M131" t="s">
        <v>5</v>
      </c>
    </row>
    <row r="132" spans="1:16" ht="15.6" x14ac:dyDescent="0.35">
      <c r="A132" t="s">
        <v>0</v>
      </c>
      <c r="B132" t="s">
        <v>1</v>
      </c>
      <c r="C132">
        <v>2025</v>
      </c>
      <c r="D132" t="s">
        <v>53</v>
      </c>
      <c r="E132" t="s">
        <v>3</v>
      </c>
      <c r="F132">
        <v>2727</v>
      </c>
      <c r="G132" t="s">
        <v>4</v>
      </c>
      <c r="H132" s="15">
        <v>0.20263999999999999</v>
      </c>
      <c r="I132" s="14" t="s">
        <v>58</v>
      </c>
      <c r="J132" s="13">
        <f t="shared" ref="J132:J136" si="10">(F132*H132)</f>
        <v>552.59927999999991</v>
      </c>
      <c r="K132" t="b">
        <v>1</v>
      </c>
      <c r="O132">
        <f>(J132+J133+J134+J139+J140+J143+J144+J145)</f>
        <v>1414.5381999999997</v>
      </c>
      <c r="P132">
        <f>(J135+J136+J137+J138+J141)</f>
        <v>747.44494000000009</v>
      </c>
    </row>
    <row r="133" spans="1:16" ht="15.6" x14ac:dyDescent="0.35">
      <c r="A133" t="s">
        <v>0</v>
      </c>
      <c r="B133" t="s">
        <v>1</v>
      </c>
      <c r="C133">
        <v>2025</v>
      </c>
      <c r="D133" t="s">
        <v>53</v>
      </c>
      <c r="E133" t="s">
        <v>6</v>
      </c>
      <c r="F133">
        <v>476</v>
      </c>
      <c r="G133" t="s">
        <v>4</v>
      </c>
      <c r="H133" s="15">
        <v>0.26807999999999998</v>
      </c>
      <c r="I133" s="14" t="s">
        <v>58</v>
      </c>
      <c r="J133" s="13">
        <f t="shared" si="10"/>
        <v>127.60607999999999</v>
      </c>
      <c r="K133" t="b">
        <v>1</v>
      </c>
      <c r="L133">
        <v>1</v>
      </c>
      <c r="M133" t="s">
        <v>5</v>
      </c>
    </row>
    <row r="134" spans="1:16" ht="15.6" x14ac:dyDescent="0.35">
      <c r="A134" t="s">
        <v>0</v>
      </c>
      <c r="B134" t="s">
        <v>1</v>
      </c>
      <c r="C134">
        <v>2025</v>
      </c>
      <c r="D134" t="s">
        <v>53</v>
      </c>
      <c r="E134" t="s">
        <v>7</v>
      </c>
      <c r="F134">
        <v>460</v>
      </c>
      <c r="G134" t="s">
        <v>4</v>
      </c>
      <c r="H134" s="15">
        <v>0.23030999999999999</v>
      </c>
      <c r="I134" s="14" t="s">
        <v>58</v>
      </c>
      <c r="J134" s="13">
        <f t="shared" si="10"/>
        <v>105.9426</v>
      </c>
      <c r="K134" t="b">
        <v>1</v>
      </c>
      <c r="L134">
        <v>1</v>
      </c>
      <c r="M134" t="s">
        <v>5</v>
      </c>
    </row>
    <row r="135" spans="1:16" ht="15.6" x14ac:dyDescent="0.35">
      <c r="A135" t="s">
        <v>0</v>
      </c>
      <c r="B135" t="s">
        <v>1</v>
      </c>
      <c r="C135">
        <v>2025</v>
      </c>
      <c r="D135" t="s">
        <v>53</v>
      </c>
      <c r="E135" t="s">
        <v>8</v>
      </c>
      <c r="F135">
        <v>2041</v>
      </c>
      <c r="G135" t="s">
        <v>4</v>
      </c>
      <c r="H135" s="15">
        <v>0</v>
      </c>
      <c r="I135" s="14" t="s">
        <v>58</v>
      </c>
      <c r="J135" s="13">
        <f t="shared" si="10"/>
        <v>0</v>
      </c>
      <c r="K135" t="b">
        <v>1</v>
      </c>
      <c r="L135">
        <v>1</v>
      </c>
      <c r="M135" t="s">
        <v>5</v>
      </c>
    </row>
    <row r="136" spans="1:16" ht="15.6" x14ac:dyDescent="0.35">
      <c r="A136" t="s">
        <v>0</v>
      </c>
      <c r="B136" t="s">
        <v>1</v>
      </c>
      <c r="C136">
        <v>2025</v>
      </c>
      <c r="D136" t="s">
        <v>53</v>
      </c>
      <c r="E136" t="s">
        <v>10</v>
      </c>
      <c r="F136">
        <v>2630</v>
      </c>
      <c r="G136" t="s">
        <v>4</v>
      </c>
      <c r="H136" s="15">
        <v>0.20705000000000001</v>
      </c>
      <c r="I136" s="14" t="s">
        <v>58</v>
      </c>
      <c r="J136" s="13">
        <f t="shared" si="10"/>
        <v>544.54150000000004</v>
      </c>
      <c r="K136" t="b">
        <v>1</v>
      </c>
      <c r="L136">
        <v>1</v>
      </c>
      <c r="M136" t="s">
        <v>9</v>
      </c>
    </row>
    <row r="137" spans="1:16" ht="15.6" x14ac:dyDescent="0.35">
      <c r="A137" t="s">
        <v>0</v>
      </c>
      <c r="B137" t="s">
        <v>1</v>
      </c>
      <c r="C137">
        <v>2025</v>
      </c>
      <c r="D137" t="s">
        <v>53</v>
      </c>
      <c r="E137" t="s">
        <v>11</v>
      </c>
      <c r="F137">
        <v>247</v>
      </c>
      <c r="G137" t="s">
        <v>4</v>
      </c>
      <c r="H137" s="8">
        <v>0.20263999999999999</v>
      </c>
      <c r="I137" s="14" t="s">
        <v>58</v>
      </c>
      <c r="J137" s="13">
        <f>(F137*H137)</f>
        <v>50.052079999999997</v>
      </c>
      <c r="K137" t="b">
        <v>1</v>
      </c>
      <c r="L137">
        <v>1</v>
      </c>
      <c r="M137" t="s">
        <v>5</v>
      </c>
    </row>
    <row r="138" spans="1:16" ht="15.6" x14ac:dyDescent="0.35">
      <c r="A138" t="s">
        <v>0</v>
      </c>
      <c r="B138" t="s">
        <v>1</v>
      </c>
      <c r="C138">
        <v>2025</v>
      </c>
      <c r="D138" t="s">
        <v>53</v>
      </c>
      <c r="E138" t="s">
        <v>12</v>
      </c>
      <c r="F138">
        <v>671</v>
      </c>
      <c r="G138" t="s">
        <v>4</v>
      </c>
      <c r="H138" s="12">
        <v>0.17965</v>
      </c>
      <c r="I138" s="14" t="s">
        <v>58</v>
      </c>
      <c r="J138" s="13">
        <f>(F138*H138)</f>
        <v>120.54515000000001</v>
      </c>
      <c r="K138" t="b">
        <v>1</v>
      </c>
      <c r="L138">
        <v>1</v>
      </c>
      <c r="M138" t="s">
        <v>5</v>
      </c>
    </row>
    <row r="139" spans="1:16" ht="15.6" x14ac:dyDescent="0.35">
      <c r="A139" t="s">
        <v>0</v>
      </c>
      <c r="B139" t="s">
        <v>1</v>
      </c>
      <c r="C139">
        <v>2025</v>
      </c>
      <c r="D139" t="s">
        <v>53</v>
      </c>
      <c r="E139" t="s">
        <v>13</v>
      </c>
      <c r="F139">
        <v>410</v>
      </c>
      <c r="G139" t="s">
        <v>14</v>
      </c>
      <c r="H139" s="22">
        <v>0.34399999999999997</v>
      </c>
      <c r="I139" s="14" t="s">
        <v>58</v>
      </c>
      <c r="J139" s="13">
        <f t="shared" ref="J139:J145" si="11">(F139*H139)</f>
        <v>141.04</v>
      </c>
      <c r="K139" t="b">
        <v>1</v>
      </c>
      <c r="L139">
        <v>1</v>
      </c>
      <c r="M139" t="s">
        <v>5</v>
      </c>
    </row>
    <row r="140" spans="1:16" ht="15.6" x14ac:dyDescent="0.35">
      <c r="A140" t="s">
        <v>0</v>
      </c>
      <c r="B140" t="s">
        <v>1</v>
      </c>
      <c r="C140">
        <v>2025</v>
      </c>
      <c r="D140" t="s">
        <v>53</v>
      </c>
      <c r="E140" t="s">
        <v>16</v>
      </c>
      <c r="F140">
        <v>498</v>
      </c>
      <c r="G140" t="s">
        <v>14</v>
      </c>
      <c r="H140" s="22">
        <v>0.54</v>
      </c>
      <c r="I140" s="14" t="s">
        <v>58</v>
      </c>
      <c r="J140" s="13">
        <f t="shared" si="11"/>
        <v>268.92</v>
      </c>
      <c r="K140" t="b">
        <v>0</v>
      </c>
      <c r="L140">
        <v>1</v>
      </c>
      <c r="M140" t="s">
        <v>15</v>
      </c>
    </row>
    <row r="141" spans="1:16" ht="15.6" x14ac:dyDescent="0.35">
      <c r="A141" t="s">
        <v>0</v>
      </c>
      <c r="B141" t="s">
        <v>1</v>
      </c>
      <c r="C141">
        <v>2025</v>
      </c>
      <c r="D141" t="s">
        <v>53</v>
      </c>
      <c r="E141" t="s">
        <v>18</v>
      </c>
      <c r="F141">
        <v>211</v>
      </c>
      <c r="G141" t="s">
        <v>14</v>
      </c>
      <c r="H141" s="43">
        <v>0.15311</v>
      </c>
      <c r="I141" s="14" t="s">
        <v>58</v>
      </c>
      <c r="J141" s="13">
        <f t="shared" si="11"/>
        <v>32.30621</v>
      </c>
      <c r="K141" t="b">
        <v>1</v>
      </c>
      <c r="L141">
        <v>0</v>
      </c>
      <c r="M141" t="s">
        <v>17</v>
      </c>
    </row>
    <row r="142" spans="1:16" ht="15.6" x14ac:dyDescent="0.35">
      <c r="A142" t="s">
        <v>0</v>
      </c>
      <c r="B142" t="s">
        <v>1</v>
      </c>
      <c r="C142">
        <v>2025</v>
      </c>
      <c r="D142" t="s">
        <v>53</v>
      </c>
      <c r="E142" t="s">
        <v>19</v>
      </c>
      <c r="F142">
        <v>163</v>
      </c>
      <c r="G142" t="s">
        <v>14</v>
      </c>
      <c r="H142" s="17">
        <v>0</v>
      </c>
      <c r="I142" s="14" t="s">
        <v>58</v>
      </c>
      <c r="J142" s="13">
        <f t="shared" si="11"/>
        <v>0</v>
      </c>
      <c r="K142" t="b">
        <v>0</v>
      </c>
      <c r="L142">
        <v>1</v>
      </c>
      <c r="M142" t="s">
        <v>5</v>
      </c>
    </row>
    <row r="143" spans="1:16" ht="15.6" x14ac:dyDescent="0.35">
      <c r="A143" t="s">
        <v>0</v>
      </c>
      <c r="B143" t="s">
        <v>1</v>
      </c>
      <c r="C143">
        <v>2025</v>
      </c>
      <c r="D143" t="s">
        <v>53</v>
      </c>
      <c r="E143" t="s">
        <v>21</v>
      </c>
      <c r="F143">
        <v>292</v>
      </c>
      <c r="G143" t="s">
        <v>14</v>
      </c>
      <c r="H143" s="9">
        <v>0.18573999999999999</v>
      </c>
      <c r="I143" s="14" t="s">
        <v>58</v>
      </c>
      <c r="J143" s="13">
        <f t="shared" si="11"/>
        <v>54.236079999999994</v>
      </c>
      <c r="K143" t="b">
        <v>1</v>
      </c>
      <c r="L143">
        <v>0</v>
      </c>
      <c r="M143" t="s">
        <v>20</v>
      </c>
    </row>
    <row r="144" spans="1:16" ht="15.6" x14ac:dyDescent="0.35">
      <c r="A144" t="s">
        <v>0</v>
      </c>
      <c r="B144" t="s">
        <v>1</v>
      </c>
      <c r="C144">
        <v>2025</v>
      </c>
      <c r="D144" t="s">
        <v>53</v>
      </c>
      <c r="E144" t="s">
        <v>22</v>
      </c>
      <c r="F144">
        <v>280</v>
      </c>
      <c r="G144" t="s">
        <v>14</v>
      </c>
      <c r="H144" s="9">
        <v>0.18573999999999999</v>
      </c>
      <c r="I144" s="14" t="s">
        <v>58</v>
      </c>
      <c r="J144" s="13">
        <f t="shared" si="11"/>
        <v>52.007199999999997</v>
      </c>
      <c r="K144" t="b">
        <v>0</v>
      </c>
      <c r="L144">
        <v>1</v>
      </c>
      <c r="M144" t="s">
        <v>15</v>
      </c>
    </row>
    <row r="145" spans="1:16" ht="15.6" x14ac:dyDescent="0.35">
      <c r="A145" t="s">
        <v>0</v>
      </c>
      <c r="B145" t="s">
        <v>1</v>
      </c>
      <c r="C145">
        <v>2025</v>
      </c>
      <c r="D145" t="s">
        <v>53</v>
      </c>
      <c r="E145" t="s">
        <v>23</v>
      </c>
      <c r="F145">
        <v>604</v>
      </c>
      <c r="G145" t="s">
        <v>14</v>
      </c>
      <c r="H145" s="9">
        <v>0.18573999999999999</v>
      </c>
      <c r="I145" s="16" t="s">
        <v>58</v>
      </c>
      <c r="J145" s="13">
        <f t="shared" si="11"/>
        <v>112.18696</v>
      </c>
      <c r="K145" t="b">
        <v>1</v>
      </c>
      <c r="L145">
        <v>0</v>
      </c>
      <c r="M145" t="s">
        <v>20</v>
      </c>
    </row>
    <row r="146" spans="1:16" x14ac:dyDescent="0.3">
      <c r="H146" s="11"/>
      <c r="I146" s="10"/>
      <c r="L146">
        <v>1</v>
      </c>
      <c r="M146" t="s">
        <v>5</v>
      </c>
    </row>
    <row r="147" spans="1:16" ht="15.6" x14ac:dyDescent="0.35">
      <c r="A147" t="s">
        <v>0</v>
      </c>
      <c r="B147" t="s">
        <v>1</v>
      </c>
      <c r="C147">
        <v>2025</v>
      </c>
      <c r="D147" t="s">
        <v>54</v>
      </c>
      <c r="E147" t="s">
        <v>3</v>
      </c>
      <c r="F147">
        <v>2028</v>
      </c>
      <c r="G147" t="s">
        <v>4</v>
      </c>
      <c r="H147" s="15">
        <v>0.20263999999999999</v>
      </c>
      <c r="I147" s="14" t="s">
        <v>58</v>
      </c>
      <c r="J147" s="13">
        <f t="shared" ref="J147:J160" si="12">(F147*H147)</f>
        <v>410.95391999999998</v>
      </c>
      <c r="K147" t="b">
        <v>1</v>
      </c>
      <c r="O147">
        <f>(J147+J148+J149+J154+J155+J158+J159+J160)</f>
        <v>1395.6142500000001</v>
      </c>
      <c r="P147">
        <f>(J150+J151+J152+J153+J156)</f>
        <v>1391.82581</v>
      </c>
    </row>
    <row r="148" spans="1:16" ht="15.6" x14ac:dyDescent="0.35">
      <c r="A148" t="s">
        <v>0</v>
      </c>
      <c r="B148" t="s">
        <v>1</v>
      </c>
      <c r="C148">
        <v>2025</v>
      </c>
      <c r="D148" t="s">
        <v>54</v>
      </c>
      <c r="E148" t="s">
        <v>6</v>
      </c>
      <c r="F148">
        <v>752</v>
      </c>
      <c r="G148" t="s">
        <v>4</v>
      </c>
      <c r="H148" s="15">
        <v>0.26807999999999998</v>
      </c>
      <c r="I148" s="14" t="s">
        <v>58</v>
      </c>
      <c r="J148" s="13">
        <f t="shared" si="12"/>
        <v>201.59616</v>
      </c>
      <c r="K148" t="b">
        <v>1</v>
      </c>
      <c r="L148">
        <v>1</v>
      </c>
      <c r="M148" t="s">
        <v>5</v>
      </c>
    </row>
    <row r="149" spans="1:16" ht="15.6" x14ac:dyDescent="0.35">
      <c r="A149" t="s">
        <v>0</v>
      </c>
      <c r="B149" t="s">
        <v>1</v>
      </c>
      <c r="C149">
        <v>2025</v>
      </c>
      <c r="D149" t="s">
        <v>54</v>
      </c>
      <c r="E149" t="s">
        <v>7</v>
      </c>
      <c r="F149">
        <v>697</v>
      </c>
      <c r="G149" t="s">
        <v>4</v>
      </c>
      <c r="H149" s="15">
        <v>0.23030999999999999</v>
      </c>
      <c r="I149" s="14" t="s">
        <v>58</v>
      </c>
      <c r="J149" s="13">
        <f t="shared" si="12"/>
        <v>160.52607</v>
      </c>
      <c r="K149" t="b">
        <v>1</v>
      </c>
      <c r="L149">
        <v>1</v>
      </c>
      <c r="M149" t="s">
        <v>5</v>
      </c>
    </row>
    <row r="150" spans="1:16" ht="15.6" x14ac:dyDescent="0.35">
      <c r="A150" t="s">
        <v>0</v>
      </c>
      <c r="B150" t="s">
        <v>1</v>
      </c>
      <c r="C150">
        <v>2025</v>
      </c>
      <c r="D150" t="s">
        <v>54</v>
      </c>
      <c r="E150" t="s">
        <v>8</v>
      </c>
      <c r="F150">
        <v>1403</v>
      </c>
      <c r="G150" t="s">
        <v>4</v>
      </c>
      <c r="H150" s="15">
        <v>0</v>
      </c>
      <c r="I150" s="14" t="s">
        <v>58</v>
      </c>
      <c r="J150" s="13">
        <f t="shared" si="12"/>
        <v>0</v>
      </c>
      <c r="K150" t="b">
        <v>1</v>
      </c>
      <c r="L150">
        <v>1</v>
      </c>
      <c r="M150" t="s">
        <v>5</v>
      </c>
    </row>
    <row r="151" spans="1:16" ht="15.6" x14ac:dyDescent="0.35">
      <c r="A151" t="s">
        <v>0</v>
      </c>
      <c r="B151" t="s">
        <v>1</v>
      </c>
      <c r="C151">
        <v>2025</v>
      </c>
      <c r="D151" t="s">
        <v>54</v>
      </c>
      <c r="E151" t="s">
        <v>10</v>
      </c>
      <c r="F151">
        <v>5855</v>
      </c>
      <c r="G151" t="s">
        <v>4</v>
      </c>
      <c r="H151" s="15">
        <v>0.20705000000000001</v>
      </c>
      <c r="I151" s="14" t="s">
        <v>58</v>
      </c>
      <c r="J151" s="13">
        <f t="shared" si="12"/>
        <v>1212.27775</v>
      </c>
      <c r="K151" t="b">
        <v>1</v>
      </c>
      <c r="L151">
        <v>1</v>
      </c>
      <c r="M151" t="s">
        <v>9</v>
      </c>
    </row>
    <row r="152" spans="1:16" ht="15.6" x14ac:dyDescent="0.35">
      <c r="A152" t="s">
        <v>0</v>
      </c>
      <c r="B152" t="s">
        <v>1</v>
      </c>
      <c r="C152">
        <v>2025</v>
      </c>
      <c r="D152" t="s">
        <v>54</v>
      </c>
      <c r="E152" t="s">
        <v>11</v>
      </c>
      <c r="F152">
        <v>123</v>
      </c>
      <c r="G152" t="s">
        <v>4</v>
      </c>
      <c r="H152" s="8">
        <v>0.20263999999999999</v>
      </c>
      <c r="I152" s="14" t="s">
        <v>58</v>
      </c>
      <c r="J152" s="13">
        <f t="shared" si="12"/>
        <v>24.924719999999997</v>
      </c>
      <c r="K152" t="b">
        <v>1</v>
      </c>
      <c r="L152">
        <v>1</v>
      </c>
      <c r="M152" t="s">
        <v>5</v>
      </c>
    </row>
    <row r="153" spans="1:16" ht="15.6" x14ac:dyDescent="0.35">
      <c r="A153" t="s">
        <v>0</v>
      </c>
      <c r="B153" t="s">
        <v>1</v>
      </c>
      <c r="C153">
        <v>2025</v>
      </c>
      <c r="D153" t="s">
        <v>54</v>
      </c>
      <c r="E153" t="s">
        <v>12</v>
      </c>
      <c r="F153">
        <v>657</v>
      </c>
      <c r="G153" t="s">
        <v>4</v>
      </c>
      <c r="H153" s="12">
        <v>0.17965</v>
      </c>
      <c r="I153" s="14" t="s">
        <v>58</v>
      </c>
      <c r="J153" s="13">
        <f t="shared" si="12"/>
        <v>118.03005</v>
      </c>
      <c r="K153" t="b">
        <v>1</v>
      </c>
      <c r="L153">
        <v>1</v>
      </c>
      <c r="M153" t="s">
        <v>5</v>
      </c>
    </row>
    <row r="154" spans="1:16" ht="15.6" x14ac:dyDescent="0.35">
      <c r="A154" t="s">
        <v>0</v>
      </c>
      <c r="B154" t="s">
        <v>1</v>
      </c>
      <c r="C154">
        <v>2025</v>
      </c>
      <c r="D154" t="s">
        <v>54</v>
      </c>
      <c r="E154" t="s">
        <v>13</v>
      </c>
      <c r="F154">
        <v>441</v>
      </c>
      <c r="G154" t="s">
        <v>14</v>
      </c>
      <c r="H154" s="22">
        <v>0.34399999999999997</v>
      </c>
      <c r="I154" s="14" t="s">
        <v>58</v>
      </c>
      <c r="J154" s="13">
        <f t="shared" si="12"/>
        <v>151.70399999999998</v>
      </c>
      <c r="K154" t="b">
        <v>1</v>
      </c>
      <c r="L154">
        <v>1</v>
      </c>
      <c r="M154" t="s">
        <v>5</v>
      </c>
    </row>
    <row r="155" spans="1:16" ht="15.6" x14ac:dyDescent="0.35">
      <c r="A155" t="s">
        <v>0</v>
      </c>
      <c r="B155" t="s">
        <v>1</v>
      </c>
      <c r="C155">
        <v>2025</v>
      </c>
      <c r="D155" t="s">
        <v>54</v>
      </c>
      <c r="E155" t="s">
        <v>16</v>
      </c>
      <c r="F155">
        <v>454</v>
      </c>
      <c r="G155" t="s">
        <v>14</v>
      </c>
      <c r="H155" s="22">
        <v>0.54</v>
      </c>
      <c r="I155" s="14" t="s">
        <v>58</v>
      </c>
      <c r="J155" s="13">
        <f t="shared" si="12"/>
        <v>245.16000000000003</v>
      </c>
      <c r="K155" t="b">
        <v>0</v>
      </c>
      <c r="L155">
        <v>1</v>
      </c>
      <c r="M155" t="s">
        <v>15</v>
      </c>
    </row>
    <row r="156" spans="1:16" ht="15.6" x14ac:dyDescent="0.35">
      <c r="A156" t="s">
        <v>0</v>
      </c>
      <c r="B156" t="s">
        <v>1</v>
      </c>
      <c r="C156">
        <v>2025</v>
      </c>
      <c r="D156" t="s">
        <v>54</v>
      </c>
      <c r="E156" t="s">
        <v>18</v>
      </c>
      <c r="F156">
        <v>239</v>
      </c>
      <c r="G156" t="s">
        <v>14</v>
      </c>
      <c r="H156" s="43">
        <v>0.15311</v>
      </c>
      <c r="I156" s="14" t="s">
        <v>58</v>
      </c>
      <c r="J156" s="13">
        <f t="shared" si="12"/>
        <v>36.593289999999996</v>
      </c>
      <c r="K156" t="b">
        <v>1</v>
      </c>
      <c r="L156">
        <v>0</v>
      </c>
      <c r="M156" t="s">
        <v>17</v>
      </c>
    </row>
    <row r="157" spans="1:16" ht="15.6" x14ac:dyDescent="0.35">
      <c r="A157" t="s">
        <v>0</v>
      </c>
      <c r="B157" t="s">
        <v>1</v>
      </c>
      <c r="C157">
        <v>2025</v>
      </c>
      <c r="D157" t="s">
        <v>54</v>
      </c>
      <c r="E157" t="s">
        <v>19</v>
      </c>
      <c r="F157">
        <v>85</v>
      </c>
      <c r="G157" t="s">
        <v>14</v>
      </c>
      <c r="H157" s="17">
        <v>0</v>
      </c>
      <c r="I157" s="14" t="s">
        <v>58</v>
      </c>
      <c r="J157" s="13">
        <f t="shared" si="12"/>
        <v>0</v>
      </c>
      <c r="K157" t="b">
        <v>0</v>
      </c>
      <c r="L157">
        <v>1</v>
      </c>
      <c r="M157" t="s">
        <v>5</v>
      </c>
    </row>
    <row r="158" spans="1:16" ht="15.6" x14ac:dyDescent="0.35">
      <c r="A158" t="s">
        <v>0</v>
      </c>
      <c r="B158" t="s">
        <v>1</v>
      </c>
      <c r="C158">
        <v>2025</v>
      </c>
      <c r="D158" t="s">
        <v>54</v>
      </c>
      <c r="E158" t="s">
        <v>21</v>
      </c>
      <c r="F158">
        <v>371</v>
      </c>
      <c r="G158" t="s">
        <v>14</v>
      </c>
      <c r="H158" s="9">
        <v>0.18573999999999999</v>
      </c>
      <c r="I158" s="14" t="s">
        <v>58</v>
      </c>
      <c r="J158" s="13">
        <f t="shared" si="12"/>
        <v>68.909539999999993</v>
      </c>
      <c r="K158" t="b">
        <v>1</v>
      </c>
      <c r="L158">
        <v>0</v>
      </c>
      <c r="M158" t="s">
        <v>20</v>
      </c>
    </row>
    <row r="159" spans="1:16" ht="15.6" x14ac:dyDescent="0.35">
      <c r="A159" t="s">
        <v>0</v>
      </c>
      <c r="B159" t="s">
        <v>1</v>
      </c>
      <c r="C159">
        <v>2025</v>
      </c>
      <c r="D159" t="s">
        <v>54</v>
      </c>
      <c r="E159" t="s">
        <v>22</v>
      </c>
      <c r="F159">
        <v>280</v>
      </c>
      <c r="G159" t="s">
        <v>14</v>
      </c>
      <c r="H159" s="9">
        <v>0.18573999999999999</v>
      </c>
      <c r="I159" s="14" t="s">
        <v>58</v>
      </c>
      <c r="J159" s="13">
        <f t="shared" si="12"/>
        <v>52.007199999999997</v>
      </c>
      <c r="K159" t="b">
        <v>0</v>
      </c>
      <c r="L159">
        <v>1</v>
      </c>
      <c r="M159" t="s">
        <v>15</v>
      </c>
    </row>
    <row r="160" spans="1:16" ht="15.6" x14ac:dyDescent="0.35">
      <c r="A160" t="s">
        <v>0</v>
      </c>
      <c r="B160" t="s">
        <v>1</v>
      </c>
      <c r="C160">
        <v>2025</v>
      </c>
      <c r="D160" t="s">
        <v>54</v>
      </c>
      <c r="E160" t="s">
        <v>23</v>
      </c>
      <c r="F160">
        <v>564</v>
      </c>
      <c r="G160" t="s">
        <v>14</v>
      </c>
      <c r="H160" s="9">
        <v>0.18573999999999999</v>
      </c>
      <c r="I160" s="16" t="s">
        <v>58</v>
      </c>
      <c r="J160" s="13">
        <f t="shared" si="12"/>
        <v>104.75735999999999</v>
      </c>
      <c r="L160">
        <v>0</v>
      </c>
      <c r="M160" t="s">
        <v>20</v>
      </c>
    </row>
    <row r="161" spans="1:16" x14ac:dyDescent="0.3">
      <c r="H161" s="11"/>
      <c r="I161" s="10"/>
      <c r="K161" t="b">
        <v>1</v>
      </c>
    </row>
    <row r="162" spans="1:16" ht="15.6" x14ac:dyDescent="0.35">
      <c r="A162" t="s">
        <v>0</v>
      </c>
      <c r="B162" t="s">
        <v>1</v>
      </c>
      <c r="C162">
        <v>2025</v>
      </c>
      <c r="D162" t="s">
        <v>55</v>
      </c>
      <c r="E162" t="s">
        <v>3</v>
      </c>
      <c r="F162">
        <v>3825</v>
      </c>
      <c r="G162" t="s">
        <v>4</v>
      </c>
      <c r="H162" s="15">
        <v>0.20263999999999999</v>
      </c>
      <c r="I162" s="14" t="s">
        <v>58</v>
      </c>
      <c r="J162" s="13">
        <f t="shared" ref="J162:J166" si="13">(F162*H162)</f>
        <v>775.09799999999996</v>
      </c>
      <c r="K162" t="b">
        <v>1</v>
      </c>
      <c r="L162">
        <v>1</v>
      </c>
      <c r="M162" t="s">
        <v>5</v>
      </c>
      <c r="O162">
        <f>(J162+J163+J164+J169+J170+J173+J174+J175)</f>
        <v>1844.2638900000002</v>
      </c>
      <c r="P162">
        <f>(J165+J166+J167+J168+J171)</f>
        <v>469.18989000000005</v>
      </c>
    </row>
    <row r="163" spans="1:16" ht="15.6" x14ac:dyDescent="0.35">
      <c r="A163" t="s">
        <v>0</v>
      </c>
      <c r="B163" t="s">
        <v>1</v>
      </c>
      <c r="C163">
        <v>2025</v>
      </c>
      <c r="D163" t="s">
        <v>55</v>
      </c>
      <c r="E163" t="s">
        <v>6</v>
      </c>
      <c r="F163">
        <v>1156</v>
      </c>
      <c r="G163" t="s">
        <v>4</v>
      </c>
      <c r="H163" s="15">
        <v>0.26807999999999998</v>
      </c>
      <c r="I163" s="14" t="s">
        <v>58</v>
      </c>
      <c r="J163" s="13">
        <f t="shared" si="13"/>
        <v>309.90047999999996</v>
      </c>
      <c r="K163" t="b">
        <v>1</v>
      </c>
      <c r="L163">
        <v>1</v>
      </c>
      <c r="M163" t="s">
        <v>5</v>
      </c>
    </row>
    <row r="164" spans="1:16" ht="15.6" x14ac:dyDescent="0.35">
      <c r="A164" t="s">
        <v>0</v>
      </c>
      <c r="B164" t="s">
        <v>1</v>
      </c>
      <c r="C164">
        <v>2025</v>
      </c>
      <c r="D164" t="s">
        <v>55</v>
      </c>
      <c r="E164" t="s">
        <v>7</v>
      </c>
      <c r="F164">
        <v>765</v>
      </c>
      <c r="G164" t="s">
        <v>4</v>
      </c>
      <c r="H164" s="15">
        <v>0.23030999999999999</v>
      </c>
      <c r="I164" s="14" t="s">
        <v>58</v>
      </c>
      <c r="J164" s="13">
        <f t="shared" si="13"/>
        <v>176.18715</v>
      </c>
      <c r="K164" t="b">
        <v>1</v>
      </c>
      <c r="L164">
        <v>1</v>
      </c>
      <c r="M164" t="s">
        <v>5</v>
      </c>
    </row>
    <row r="165" spans="1:16" ht="15.6" x14ac:dyDescent="0.35">
      <c r="A165" t="s">
        <v>0</v>
      </c>
      <c r="B165" t="s">
        <v>1</v>
      </c>
      <c r="C165">
        <v>2025</v>
      </c>
      <c r="D165" t="s">
        <v>55</v>
      </c>
      <c r="E165" t="s">
        <v>8</v>
      </c>
      <c r="F165">
        <v>1726</v>
      </c>
      <c r="G165" t="s">
        <v>4</v>
      </c>
      <c r="H165" s="15">
        <v>0</v>
      </c>
      <c r="I165" s="14" t="s">
        <v>58</v>
      </c>
      <c r="J165" s="13">
        <f t="shared" si="13"/>
        <v>0</v>
      </c>
      <c r="K165" t="b">
        <v>1</v>
      </c>
      <c r="L165">
        <v>1</v>
      </c>
      <c r="M165" t="s">
        <v>9</v>
      </c>
    </row>
    <row r="166" spans="1:16" ht="15.6" x14ac:dyDescent="0.35">
      <c r="A166" t="s">
        <v>0</v>
      </c>
      <c r="B166" t="s">
        <v>1</v>
      </c>
      <c r="C166">
        <v>2025</v>
      </c>
      <c r="D166" t="s">
        <v>55</v>
      </c>
      <c r="E166" t="s">
        <v>10</v>
      </c>
      <c r="F166">
        <v>1333</v>
      </c>
      <c r="G166" t="s">
        <v>4</v>
      </c>
      <c r="H166" s="15">
        <v>0.20705000000000001</v>
      </c>
      <c r="I166" s="14" t="s">
        <v>58</v>
      </c>
      <c r="J166" s="13">
        <f t="shared" si="13"/>
        <v>275.99765000000002</v>
      </c>
      <c r="K166" t="b">
        <v>1</v>
      </c>
      <c r="L166">
        <v>1</v>
      </c>
      <c r="M166" t="s">
        <v>5</v>
      </c>
    </row>
    <row r="167" spans="1:16" ht="15.6" x14ac:dyDescent="0.35">
      <c r="A167" t="s">
        <v>0</v>
      </c>
      <c r="B167" t="s">
        <v>1</v>
      </c>
      <c r="C167">
        <v>2025</v>
      </c>
      <c r="D167" t="s">
        <v>55</v>
      </c>
      <c r="E167" t="s">
        <v>11</v>
      </c>
      <c r="F167">
        <v>274</v>
      </c>
      <c r="G167" t="s">
        <v>4</v>
      </c>
      <c r="H167" s="8">
        <v>0.20263999999999999</v>
      </c>
      <c r="I167" s="14" t="s">
        <v>58</v>
      </c>
      <c r="J167" s="13">
        <f>(F167*H167)</f>
        <v>55.523359999999997</v>
      </c>
      <c r="K167" t="b">
        <v>1</v>
      </c>
      <c r="L167">
        <v>1</v>
      </c>
      <c r="M167" t="s">
        <v>5</v>
      </c>
    </row>
    <row r="168" spans="1:16" ht="15.6" x14ac:dyDescent="0.35">
      <c r="A168" t="s">
        <v>0</v>
      </c>
      <c r="B168" t="s">
        <v>1</v>
      </c>
      <c r="C168">
        <v>2025</v>
      </c>
      <c r="D168" t="s">
        <v>55</v>
      </c>
      <c r="E168" t="s">
        <v>12</v>
      </c>
      <c r="F168">
        <v>572</v>
      </c>
      <c r="G168" t="s">
        <v>4</v>
      </c>
      <c r="H168" s="12">
        <v>0.17965</v>
      </c>
      <c r="I168" s="14" t="s">
        <v>58</v>
      </c>
      <c r="J168" s="13">
        <f>(F168*H168)</f>
        <v>102.7598</v>
      </c>
      <c r="K168" t="b">
        <v>1</v>
      </c>
      <c r="L168">
        <v>1</v>
      </c>
      <c r="M168" t="s">
        <v>5</v>
      </c>
    </row>
    <row r="169" spans="1:16" ht="15.6" x14ac:dyDescent="0.35">
      <c r="A169" t="s">
        <v>0</v>
      </c>
      <c r="B169" t="s">
        <v>1</v>
      </c>
      <c r="C169">
        <v>2025</v>
      </c>
      <c r="D169" t="s">
        <v>55</v>
      </c>
      <c r="E169" t="s">
        <v>13</v>
      </c>
      <c r="F169">
        <v>404</v>
      </c>
      <c r="G169" t="s">
        <v>14</v>
      </c>
      <c r="H169" s="22">
        <v>0.34399999999999997</v>
      </c>
      <c r="I169" s="14" t="s">
        <v>58</v>
      </c>
      <c r="J169" s="13">
        <f t="shared" ref="J169:J175" si="14">(F169*H169)</f>
        <v>138.976</v>
      </c>
      <c r="K169" t="b">
        <v>0</v>
      </c>
      <c r="L169">
        <v>1</v>
      </c>
      <c r="M169" t="s">
        <v>15</v>
      </c>
    </row>
    <row r="170" spans="1:16" ht="15.6" x14ac:dyDescent="0.35">
      <c r="A170" t="s">
        <v>0</v>
      </c>
      <c r="B170" t="s">
        <v>1</v>
      </c>
      <c r="C170">
        <v>2025</v>
      </c>
      <c r="D170" t="s">
        <v>55</v>
      </c>
      <c r="E170" t="s">
        <v>16</v>
      </c>
      <c r="F170">
        <v>410</v>
      </c>
      <c r="G170" t="s">
        <v>14</v>
      </c>
      <c r="H170" s="22">
        <v>0.54</v>
      </c>
      <c r="I170" s="14" t="s">
        <v>58</v>
      </c>
      <c r="J170" s="13">
        <f t="shared" si="14"/>
        <v>221.4</v>
      </c>
      <c r="K170" t="b">
        <v>1</v>
      </c>
      <c r="L170">
        <v>0</v>
      </c>
      <c r="M170" t="s">
        <v>17</v>
      </c>
    </row>
    <row r="171" spans="1:16" ht="15.6" x14ac:dyDescent="0.35">
      <c r="A171" t="s">
        <v>0</v>
      </c>
      <c r="B171" t="s">
        <v>1</v>
      </c>
      <c r="C171">
        <v>2025</v>
      </c>
      <c r="D171" t="s">
        <v>55</v>
      </c>
      <c r="E171" t="s">
        <v>18</v>
      </c>
      <c r="F171">
        <v>228</v>
      </c>
      <c r="G171" t="s">
        <v>14</v>
      </c>
      <c r="H171" s="43">
        <v>0.15311</v>
      </c>
      <c r="I171" s="14" t="s">
        <v>58</v>
      </c>
      <c r="J171" s="13">
        <f t="shared" si="14"/>
        <v>34.909079999999996</v>
      </c>
      <c r="K171" t="b">
        <v>0</v>
      </c>
      <c r="L171">
        <v>1</v>
      </c>
      <c r="M171" t="s">
        <v>5</v>
      </c>
    </row>
    <row r="172" spans="1:16" ht="15.6" x14ac:dyDescent="0.35">
      <c r="A172" t="s">
        <v>0</v>
      </c>
      <c r="B172" t="s">
        <v>1</v>
      </c>
      <c r="C172">
        <v>2025</v>
      </c>
      <c r="D172" t="s">
        <v>55</v>
      </c>
      <c r="E172" t="s">
        <v>19</v>
      </c>
      <c r="F172">
        <v>152</v>
      </c>
      <c r="G172" t="s">
        <v>14</v>
      </c>
      <c r="H172" s="17">
        <v>0</v>
      </c>
      <c r="I172" s="14" t="s">
        <v>58</v>
      </c>
      <c r="J172" s="13">
        <f t="shared" si="14"/>
        <v>0</v>
      </c>
      <c r="K172" t="b">
        <v>1</v>
      </c>
      <c r="L172">
        <v>0</v>
      </c>
      <c r="M172" t="s">
        <v>20</v>
      </c>
    </row>
    <row r="173" spans="1:16" ht="15.6" x14ac:dyDescent="0.35">
      <c r="A173" t="s">
        <v>0</v>
      </c>
      <c r="B173" t="s">
        <v>1</v>
      </c>
      <c r="C173">
        <v>2025</v>
      </c>
      <c r="D173" t="s">
        <v>55</v>
      </c>
      <c r="E173" t="s">
        <v>21</v>
      </c>
      <c r="F173">
        <v>361</v>
      </c>
      <c r="G173" t="s">
        <v>14</v>
      </c>
      <c r="H173" s="9">
        <v>0.18573999999999999</v>
      </c>
      <c r="I173" s="14" t="s">
        <v>58</v>
      </c>
      <c r="J173" s="13">
        <f t="shared" si="14"/>
        <v>67.052139999999994</v>
      </c>
      <c r="K173" t="b">
        <v>0</v>
      </c>
      <c r="L173">
        <v>1</v>
      </c>
      <c r="M173" t="s">
        <v>15</v>
      </c>
    </row>
    <row r="174" spans="1:16" ht="15.6" x14ac:dyDescent="0.35">
      <c r="A174" t="s">
        <v>0</v>
      </c>
      <c r="B174" t="s">
        <v>1</v>
      </c>
      <c r="C174">
        <v>2025</v>
      </c>
      <c r="D174" t="s">
        <v>55</v>
      </c>
      <c r="E174" t="s">
        <v>22</v>
      </c>
      <c r="F174">
        <v>273</v>
      </c>
      <c r="G174" t="s">
        <v>14</v>
      </c>
      <c r="H174" s="9">
        <v>0.18573999999999999</v>
      </c>
      <c r="I174" s="14" t="s">
        <v>58</v>
      </c>
      <c r="J174" s="13">
        <f t="shared" si="14"/>
        <v>50.70702</v>
      </c>
      <c r="K174" t="b">
        <v>1</v>
      </c>
      <c r="L174">
        <v>0</v>
      </c>
      <c r="M174" t="s">
        <v>20</v>
      </c>
    </row>
    <row r="175" spans="1:16" ht="15.6" x14ac:dyDescent="0.35">
      <c r="A175" t="s">
        <v>0</v>
      </c>
      <c r="B175" t="s">
        <v>1</v>
      </c>
      <c r="C175">
        <v>2025</v>
      </c>
      <c r="D175" t="s">
        <v>55</v>
      </c>
      <c r="E175" t="s">
        <v>23</v>
      </c>
      <c r="F175">
        <v>565</v>
      </c>
      <c r="G175" t="s">
        <v>14</v>
      </c>
      <c r="H175" s="9">
        <v>0.18573999999999999</v>
      </c>
      <c r="I175" s="16" t="s">
        <v>58</v>
      </c>
      <c r="J175" s="13">
        <f t="shared" si="14"/>
        <v>104.94309999999999</v>
      </c>
      <c r="L175">
        <v>1</v>
      </c>
      <c r="M175" t="s">
        <v>5</v>
      </c>
    </row>
    <row r="176" spans="1:16" x14ac:dyDescent="0.3">
      <c r="H176" s="11"/>
      <c r="I176" s="10"/>
      <c r="K176" t="b">
        <v>1</v>
      </c>
    </row>
    <row r="177" spans="1:16" ht="15.6" x14ac:dyDescent="0.35">
      <c r="A177" t="s">
        <v>0</v>
      </c>
      <c r="B177" t="s">
        <v>1</v>
      </c>
      <c r="C177">
        <v>2025</v>
      </c>
      <c r="D177" t="s">
        <v>56</v>
      </c>
      <c r="E177" t="s">
        <v>3</v>
      </c>
      <c r="F177">
        <v>2282</v>
      </c>
      <c r="G177" t="s">
        <v>4</v>
      </c>
      <c r="H177" s="15">
        <v>0.20263999999999999</v>
      </c>
      <c r="I177" s="14" t="s">
        <v>58</v>
      </c>
      <c r="J177" s="13">
        <f t="shared" ref="J177:J190" si="15">(F177*H177)</f>
        <v>462.42447999999996</v>
      </c>
      <c r="K177" t="b">
        <v>1</v>
      </c>
      <c r="L177">
        <v>1</v>
      </c>
      <c r="M177" t="s">
        <v>5</v>
      </c>
      <c r="O177">
        <f>(J177+J178+J179+J184+J185+J188+J189+J190)</f>
        <v>1633.95316</v>
      </c>
      <c r="P177">
        <f>(J180+J181+J182+J183+J186)</f>
        <v>1415.1838</v>
      </c>
    </row>
    <row r="178" spans="1:16" ht="15.6" x14ac:dyDescent="0.35">
      <c r="A178" t="s">
        <v>0</v>
      </c>
      <c r="B178" t="s">
        <v>1</v>
      </c>
      <c r="C178">
        <v>2025</v>
      </c>
      <c r="D178" t="s">
        <v>56</v>
      </c>
      <c r="E178" t="s">
        <v>6</v>
      </c>
      <c r="F178">
        <v>1227</v>
      </c>
      <c r="G178" t="s">
        <v>4</v>
      </c>
      <c r="H178" s="15">
        <v>0.26807999999999998</v>
      </c>
      <c r="I178" s="14" t="s">
        <v>58</v>
      </c>
      <c r="J178" s="13">
        <f t="shared" si="15"/>
        <v>328.93415999999996</v>
      </c>
      <c r="K178" t="b">
        <v>1</v>
      </c>
      <c r="L178">
        <v>1</v>
      </c>
      <c r="M178" t="s">
        <v>5</v>
      </c>
    </row>
    <row r="179" spans="1:16" ht="15.6" x14ac:dyDescent="0.35">
      <c r="A179" t="s">
        <v>0</v>
      </c>
      <c r="B179" t="s">
        <v>1</v>
      </c>
      <c r="C179">
        <v>2025</v>
      </c>
      <c r="D179" t="s">
        <v>56</v>
      </c>
      <c r="E179" t="s">
        <v>7</v>
      </c>
      <c r="F179">
        <v>968</v>
      </c>
      <c r="G179" t="s">
        <v>4</v>
      </c>
      <c r="H179" s="15">
        <v>0.23030999999999999</v>
      </c>
      <c r="I179" s="14" t="s">
        <v>58</v>
      </c>
      <c r="J179" s="13">
        <f t="shared" si="15"/>
        <v>222.94007999999999</v>
      </c>
      <c r="K179" t="b">
        <v>1</v>
      </c>
      <c r="L179">
        <v>1</v>
      </c>
      <c r="M179" t="s">
        <v>5</v>
      </c>
    </row>
    <row r="180" spans="1:16" ht="15.6" x14ac:dyDescent="0.35">
      <c r="A180" t="s">
        <v>0</v>
      </c>
      <c r="B180" t="s">
        <v>1</v>
      </c>
      <c r="C180">
        <v>2025</v>
      </c>
      <c r="D180" t="s">
        <v>56</v>
      </c>
      <c r="E180" t="s">
        <v>8</v>
      </c>
      <c r="F180">
        <v>1491</v>
      </c>
      <c r="G180" t="s">
        <v>4</v>
      </c>
      <c r="H180" s="15">
        <v>0</v>
      </c>
      <c r="I180" s="14" t="s">
        <v>58</v>
      </c>
      <c r="J180" s="13">
        <f t="shared" si="15"/>
        <v>0</v>
      </c>
      <c r="K180" t="b">
        <v>1</v>
      </c>
      <c r="L180">
        <v>1</v>
      </c>
      <c r="M180" t="s">
        <v>9</v>
      </c>
    </row>
    <row r="181" spans="1:16" ht="15.6" x14ac:dyDescent="0.35">
      <c r="A181" t="s">
        <v>0</v>
      </c>
      <c r="B181" t="s">
        <v>1</v>
      </c>
      <c r="C181">
        <v>2025</v>
      </c>
      <c r="D181" t="s">
        <v>56</v>
      </c>
      <c r="E181" t="s">
        <v>10</v>
      </c>
      <c r="F181">
        <v>5896</v>
      </c>
      <c r="G181" t="s">
        <v>4</v>
      </c>
      <c r="H181" s="15">
        <v>0.20705000000000001</v>
      </c>
      <c r="I181" s="14" t="s">
        <v>58</v>
      </c>
      <c r="J181" s="13">
        <f t="shared" si="15"/>
        <v>1220.7668000000001</v>
      </c>
      <c r="K181" t="b">
        <v>1</v>
      </c>
      <c r="L181">
        <v>1</v>
      </c>
      <c r="M181" t="s">
        <v>5</v>
      </c>
    </row>
    <row r="182" spans="1:16" ht="15.6" x14ac:dyDescent="0.35">
      <c r="A182" t="s">
        <v>0</v>
      </c>
      <c r="B182" t="s">
        <v>1</v>
      </c>
      <c r="C182">
        <v>2025</v>
      </c>
      <c r="D182" t="s">
        <v>56</v>
      </c>
      <c r="E182" t="s">
        <v>11</v>
      </c>
      <c r="F182">
        <v>228</v>
      </c>
      <c r="G182" t="s">
        <v>4</v>
      </c>
      <c r="H182" s="8">
        <v>0.20263999999999999</v>
      </c>
      <c r="I182" s="14" t="s">
        <v>58</v>
      </c>
      <c r="J182" s="13">
        <f t="shared" si="15"/>
        <v>46.201919999999994</v>
      </c>
      <c r="K182" t="b">
        <v>1</v>
      </c>
      <c r="L182">
        <v>1</v>
      </c>
      <c r="M182" t="s">
        <v>5</v>
      </c>
    </row>
    <row r="183" spans="1:16" ht="15.6" x14ac:dyDescent="0.35">
      <c r="A183" t="s">
        <v>0</v>
      </c>
      <c r="B183" t="s">
        <v>1</v>
      </c>
      <c r="C183">
        <v>2025</v>
      </c>
      <c r="D183" t="s">
        <v>56</v>
      </c>
      <c r="E183" t="s">
        <v>12</v>
      </c>
      <c r="F183">
        <v>554</v>
      </c>
      <c r="G183" t="s">
        <v>4</v>
      </c>
      <c r="H183" s="12">
        <v>0.17965</v>
      </c>
      <c r="I183" s="14" t="s">
        <v>58</v>
      </c>
      <c r="J183" s="13">
        <f t="shared" si="15"/>
        <v>99.5261</v>
      </c>
      <c r="K183" t="b">
        <v>1</v>
      </c>
      <c r="L183">
        <v>1</v>
      </c>
      <c r="M183" t="s">
        <v>5</v>
      </c>
    </row>
    <row r="184" spans="1:16" ht="15.6" x14ac:dyDescent="0.35">
      <c r="A184" t="s">
        <v>0</v>
      </c>
      <c r="B184" t="s">
        <v>1</v>
      </c>
      <c r="C184">
        <v>2025</v>
      </c>
      <c r="D184" t="s">
        <v>56</v>
      </c>
      <c r="E184" t="s">
        <v>13</v>
      </c>
      <c r="F184">
        <v>483</v>
      </c>
      <c r="G184" t="s">
        <v>14</v>
      </c>
      <c r="H184" s="22">
        <v>0.34399999999999997</v>
      </c>
      <c r="I184" s="14" t="s">
        <v>58</v>
      </c>
      <c r="J184" s="13">
        <f t="shared" si="15"/>
        <v>166.15199999999999</v>
      </c>
      <c r="K184" t="b">
        <v>0</v>
      </c>
      <c r="L184">
        <v>1</v>
      </c>
      <c r="M184" t="s">
        <v>15</v>
      </c>
    </row>
    <row r="185" spans="1:16" ht="15.6" x14ac:dyDescent="0.35">
      <c r="A185" t="s">
        <v>0</v>
      </c>
      <c r="B185" t="s">
        <v>1</v>
      </c>
      <c r="C185">
        <v>2025</v>
      </c>
      <c r="D185" t="s">
        <v>56</v>
      </c>
      <c r="E185" t="s">
        <v>16</v>
      </c>
      <c r="F185">
        <v>425</v>
      </c>
      <c r="G185" t="s">
        <v>14</v>
      </c>
      <c r="H185" s="22">
        <v>0.54</v>
      </c>
      <c r="I185" s="14" t="s">
        <v>58</v>
      </c>
      <c r="J185" s="13">
        <f t="shared" si="15"/>
        <v>229.50000000000003</v>
      </c>
      <c r="K185" t="b">
        <v>1</v>
      </c>
      <c r="L185">
        <v>0</v>
      </c>
      <c r="M185" t="s">
        <v>17</v>
      </c>
    </row>
    <row r="186" spans="1:16" ht="15.6" x14ac:dyDescent="0.35">
      <c r="A186" t="s">
        <v>0</v>
      </c>
      <c r="B186" t="s">
        <v>1</v>
      </c>
      <c r="C186">
        <v>2025</v>
      </c>
      <c r="D186" t="s">
        <v>56</v>
      </c>
      <c r="E186" t="s">
        <v>18</v>
      </c>
      <c r="F186">
        <v>318</v>
      </c>
      <c r="G186" t="s">
        <v>14</v>
      </c>
      <c r="H186" s="43">
        <v>0.15311</v>
      </c>
      <c r="I186" s="14" t="s">
        <v>58</v>
      </c>
      <c r="J186" s="13">
        <f t="shared" si="15"/>
        <v>48.688980000000001</v>
      </c>
      <c r="K186" t="b">
        <v>0</v>
      </c>
      <c r="L186">
        <v>1</v>
      </c>
      <c r="M186" t="s">
        <v>5</v>
      </c>
    </row>
    <row r="187" spans="1:16" ht="15.6" x14ac:dyDescent="0.35">
      <c r="A187" t="s">
        <v>0</v>
      </c>
      <c r="B187" t="s">
        <v>1</v>
      </c>
      <c r="C187">
        <v>2025</v>
      </c>
      <c r="D187" t="s">
        <v>56</v>
      </c>
      <c r="E187" t="s">
        <v>19</v>
      </c>
      <c r="F187">
        <v>126</v>
      </c>
      <c r="G187" t="s">
        <v>14</v>
      </c>
      <c r="H187" s="17">
        <v>0</v>
      </c>
      <c r="I187" s="14" t="s">
        <v>58</v>
      </c>
      <c r="J187" s="13">
        <f t="shared" si="15"/>
        <v>0</v>
      </c>
      <c r="K187" t="b">
        <v>1</v>
      </c>
      <c r="L187">
        <v>0</v>
      </c>
      <c r="M187" t="s">
        <v>20</v>
      </c>
    </row>
    <row r="188" spans="1:16" ht="15.6" x14ac:dyDescent="0.35">
      <c r="A188" t="s">
        <v>0</v>
      </c>
      <c r="B188" t="s">
        <v>1</v>
      </c>
      <c r="C188">
        <v>2025</v>
      </c>
      <c r="D188" t="s">
        <v>56</v>
      </c>
      <c r="E188" t="s">
        <v>21</v>
      </c>
      <c r="F188">
        <v>339</v>
      </c>
      <c r="G188" t="s">
        <v>14</v>
      </c>
      <c r="H188" s="9">
        <v>0.18573999999999999</v>
      </c>
      <c r="I188" s="14" t="s">
        <v>58</v>
      </c>
      <c r="J188" s="13">
        <f t="shared" si="15"/>
        <v>62.965859999999999</v>
      </c>
      <c r="K188" t="b">
        <v>0</v>
      </c>
      <c r="L188">
        <v>1</v>
      </c>
      <c r="M188" t="s">
        <v>15</v>
      </c>
    </row>
    <row r="189" spans="1:16" ht="15.6" x14ac:dyDescent="0.35">
      <c r="A189" t="s">
        <v>0</v>
      </c>
      <c r="B189" t="s">
        <v>1</v>
      </c>
      <c r="C189">
        <v>2025</v>
      </c>
      <c r="D189" t="s">
        <v>56</v>
      </c>
      <c r="E189" t="s">
        <v>22</v>
      </c>
      <c r="F189">
        <v>266</v>
      </c>
      <c r="G189" t="s">
        <v>14</v>
      </c>
      <c r="H189" s="9">
        <v>0.18573999999999999</v>
      </c>
      <c r="I189" s="14" t="s">
        <v>58</v>
      </c>
      <c r="J189" s="13">
        <f t="shared" si="15"/>
        <v>49.406839999999995</v>
      </c>
      <c r="K189" t="b">
        <v>1</v>
      </c>
      <c r="L189">
        <v>0</v>
      </c>
      <c r="M189" t="s">
        <v>20</v>
      </c>
    </row>
    <row r="190" spans="1:16" ht="15.6" x14ac:dyDescent="0.35">
      <c r="A190" t="s">
        <v>0</v>
      </c>
      <c r="B190" t="s">
        <v>1</v>
      </c>
      <c r="C190">
        <v>2025</v>
      </c>
      <c r="D190" t="s">
        <v>56</v>
      </c>
      <c r="E190" t="s">
        <v>23</v>
      </c>
      <c r="F190">
        <v>601</v>
      </c>
      <c r="G190" t="s">
        <v>14</v>
      </c>
      <c r="H190" s="9">
        <v>0.18573999999999999</v>
      </c>
      <c r="I190" s="16" t="s">
        <v>58</v>
      </c>
      <c r="J190" s="13">
        <f t="shared" si="15"/>
        <v>111.62974</v>
      </c>
      <c r="L190">
        <v>1</v>
      </c>
      <c r="M190" t="s">
        <v>5</v>
      </c>
    </row>
  </sheetData>
  <mergeCells count="2">
    <mergeCell ref="A1:B1"/>
    <mergeCell ref="C7:G7"/>
  </mergeCells>
  <conditionalFormatting sqref="A15:A25">
    <cfRule type="duplicateValues" dxfId="27" priority="12"/>
  </conditionalFormatting>
  <conditionalFormatting sqref="A29:A40">
    <cfRule type="duplicateValues" dxfId="26" priority="11"/>
  </conditionalFormatting>
  <conditionalFormatting sqref="A44:A55">
    <cfRule type="duplicateValues" dxfId="25" priority="10"/>
  </conditionalFormatting>
  <conditionalFormatting sqref="A59:A70">
    <cfRule type="duplicateValues" dxfId="24" priority="9"/>
  </conditionalFormatting>
  <conditionalFormatting sqref="A74:A85">
    <cfRule type="duplicateValues" dxfId="23" priority="8"/>
  </conditionalFormatting>
  <conditionalFormatting sqref="A89:A100">
    <cfRule type="duplicateValues" dxfId="22" priority="7"/>
  </conditionalFormatting>
  <conditionalFormatting sqref="A104:A115">
    <cfRule type="duplicateValues" dxfId="21" priority="6"/>
  </conditionalFormatting>
  <conditionalFormatting sqref="A119:A130">
    <cfRule type="duplicateValues" dxfId="20" priority="5"/>
  </conditionalFormatting>
  <conditionalFormatting sqref="A134:A146">
    <cfRule type="duplicateValues" dxfId="19" priority="4"/>
  </conditionalFormatting>
  <conditionalFormatting sqref="A149:A160">
    <cfRule type="duplicateValues" dxfId="18" priority="3"/>
  </conditionalFormatting>
  <conditionalFormatting sqref="A164:A175">
    <cfRule type="duplicateValues" dxfId="17" priority="2"/>
  </conditionalFormatting>
  <conditionalFormatting sqref="A179:A190">
    <cfRule type="duplicateValues" dxfId="1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4F60-B3EB-466C-A93A-7C9DDBF35724}">
  <dimension ref="A1:Q226"/>
  <sheetViews>
    <sheetView zoomScale="63" workbookViewId="0">
      <selection activeCell="I12" sqref="I12:I28"/>
    </sheetView>
  </sheetViews>
  <sheetFormatPr defaultRowHeight="14.4" x14ac:dyDescent="0.3"/>
  <cols>
    <col min="1" max="1" width="17.33203125" customWidth="1"/>
    <col min="2" max="2" width="13.109375" customWidth="1"/>
    <col min="3" max="3" width="19.109375" customWidth="1"/>
    <col min="4" max="4" width="13.88671875" customWidth="1"/>
    <col min="5" max="5" width="37.88671875" customWidth="1"/>
    <col min="6" max="6" width="17.5546875" customWidth="1"/>
    <col min="7" max="7" width="16.109375" customWidth="1"/>
    <col min="8" max="8" width="16" customWidth="1"/>
    <col min="9" max="9" width="12.44140625" customWidth="1"/>
    <col min="10" max="10" width="14.33203125" customWidth="1"/>
    <col min="11" max="11" width="12.88671875" customWidth="1"/>
    <col min="12" max="12" width="14" customWidth="1"/>
    <col min="13" max="13" width="13.109375" customWidth="1"/>
  </cols>
  <sheetData>
    <row r="1" spans="1:17" x14ac:dyDescent="0.3">
      <c r="A1" s="75" t="s">
        <v>24</v>
      </c>
      <c r="B1" s="75"/>
    </row>
    <row r="2" spans="1:17" x14ac:dyDescent="0.3">
      <c r="A2" s="1" t="s">
        <v>25</v>
      </c>
      <c r="B2" s="1" t="s">
        <v>26</v>
      </c>
    </row>
    <row r="3" spans="1:17" x14ac:dyDescent="0.3">
      <c r="A3" s="1" t="s">
        <v>27</v>
      </c>
      <c r="B3" s="1" t="s">
        <v>28</v>
      </c>
    </row>
    <row r="4" spans="1:17" x14ac:dyDescent="0.3">
      <c r="A4" s="1" t="s">
        <v>29</v>
      </c>
      <c r="B4" s="2">
        <v>45870</v>
      </c>
    </row>
    <row r="5" spans="1:17" x14ac:dyDescent="0.3">
      <c r="A5" s="1" t="s">
        <v>30</v>
      </c>
      <c r="B5" s="1" t="s">
        <v>31</v>
      </c>
    </row>
    <row r="6" spans="1:17" x14ac:dyDescent="0.3">
      <c r="A6" s="1" t="s">
        <v>32</v>
      </c>
      <c r="B6" s="1" t="s">
        <v>33</v>
      </c>
    </row>
    <row r="7" spans="1:17" x14ac:dyDescent="0.3">
      <c r="B7" s="3" t="s">
        <v>34</v>
      </c>
      <c r="C7" s="76" t="s">
        <v>35</v>
      </c>
      <c r="D7" s="76"/>
      <c r="E7" s="76"/>
      <c r="F7" s="76"/>
      <c r="G7" s="76"/>
      <c r="H7" s="7"/>
      <c r="I7" s="7"/>
      <c r="J7" s="7"/>
    </row>
    <row r="8" spans="1:17" x14ac:dyDescent="0.3">
      <c r="B8" s="38"/>
      <c r="C8" s="7"/>
      <c r="D8" s="7"/>
      <c r="E8" s="7"/>
      <c r="F8" s="7"/>
      <c r="G8" s="7"/>
      <c r="H8" s="7"/>
      <c r="I8" s="7"/>
      <c r="J8" s="7"/>
    </row>
    <row r="9" spans="1:17" x14ac:dyDescent="0.3">
      <c r="A9" s="4" t="s">
        <v>36</v>
      </c>
      <c r="B9" s="4" t="s">
        <v>37</v>
      </c>
      <c r="C9" s="4" t="s">
        <v>38</v>
      </c>
      <c r="D9" s="5" t="s">
        <v>39</v>
      </c>
      <c r="E9" s="4" t="s">
        <v>40</v>
      </c>
      <c r="F9" s="6" t="s">
        <v>41</v>
      </c>
      <c r="G9" s="4" t="s">
        <v>42</v>
      </c>
      <c r="H9" s="4" t="s">
        <v>57</v>
      </c>
      <c r="I9" s="4" t="s">
        <v>42</v>
      </c>
      <c r="J9" s="4" t="s">
        <v>59</v>
      </c>
      <c r="K9" s="4" t="s">
        <v>43</v>
      </c>
      <c r="L9" s="4" t="s">
        <v>44</v>
      </c>
      <c r="M9" s="4" t="s">
        <v>45</v>
      </c>
      <c r="O9" s="37" t="s">
        <v>170</v>
      </c>
      <c r="P9" s="37" t="s">
        <v>171</v>
      </c>
    </row>
    <row r="10" spans="1:17" ht="15.6" x14ac:dyDescent="0.35">
      <c r="O10" s="38">
        <f>SUM(O12:O226)</f>
        <v>18443.513899999998</v>
      </c>
      <c r="P10" s="38">
        <f>SUM(P12:P226)</f>
        <v>15822.442890000002</v>
      </c>
      <c r="Q10" s="14" t="s">
        <v>58</v>
      </c>
    </row>
    <row r="12" spans="1:17" ht="15.6" x14ac:dyDescent="0.35">
      <c r="A12" t="s">
        <v>60</v>
      </c>
      <c r="B12" t="s">
        <v>61</v>
      </c>
      <c r="C12">
        <v>2025</v>
      </c>
      <c r="D12" t="s">
        <v>2</v>
      </c>
      <c r="E12" s="39" t="s">
        <v>3</v>
      </c>
      <c r="F12">
        <v>3738</v>
      </c>
      <c r="G12" t="s">
        <v>4</v>
      </c>
      <c r="H12" s="15">
        <v>0.20263999999999999</v>
      </c>
      <c r="I12" s="14" t="s">
        <v>58</v>
      </c>
      <c r="J12">
        <f>(F12*H12)</f>
        <v>757.46831999999995</v>
      </c>
      <c r="K12" t="b">
        <v>1</v>
      </c>
      <c r="L12">
        <v>1</v>
      </c>
      <c r="M12" t="s">
        <v>5</v>
      </c>
      <c r="O12">
        <f>(J12+J13+J14+J15+J19+J22+J23+J26+J27+J28)</f>
        <v>1496.1363999999999</v>
      </c>
      <c r="P12">
        <f>(J17+J20+J21+J24)</f>
        <v>1224.0085000000001</v>
      </c>
    </row>
    <row r="13" spans="1:17" ht="15.6" x14ac:dyDescent="0.35">
      <c r="A13" t="s">
        <v>60</v>
      </c>
      <c r="B13" t="s">
        <v>61</v>
      </c>
      <c r="C13">
        <v>2025</v>
      </c>
      <c r="D13" t="s">
        <v>2</v>
      </c>
      <c r="E13" s="39" t="s">
        <v>6</v>
      </c>
      <c r="F13">
        <v>506</v>
      </c>
      <c r="G13" t="s">
        <v>4</v>
      </c>
      <c r="H13" s="15">
        <v>0.26807999999999998</v>
      </c>
      <c r="I13" s="14" t="s">
        <v>58</v>
      </c>
      <c r="J13">
        <f t="shared" ref="J13:J28" si="0">(F13*H13)</f>
        <v>135.64848000000001</v>
      </c>
      <c r="K13" t="b">
        <v>1</v>
      </c>
      <c r="L13">
        <v>1</v>
      </c>
      <c r="M13" t="s">
        <v>5</v>
      </c>
    </row>
    <row r="14" spans="1:17" ht="15.6" x14ac:dyDescent="0.35">
      <c r="A14" t="s">
        <v>60</v>
      </c>
      <c r="B14" t="s">
        <v>61</v>
      </c>
      <c r="C14">
        <v>2025</v>
      </c>
      <c r="D14" t="s">
        <v>2</v>
      </c>
      <c r="E14" s="39" t="s">
        <v>7</v>
      </c>
      <c r="F14">
        <v>408</v>
      </c>
      <c r="G14" t="s">
        <v>4</v>
      </c>
      <c r="H14" s="15">
        <v>0.23030999999999999</v>
      </c>
      <c r="I14" s="14" t="s">
        <v>58</v>
      </c>
      <c r="J14">
        <f t="shared" si="0"/>
        <v>93.96647999999999</v>
      </c>
      <c r="K14" t="b">
        <v>1</v>
      </c>
      <c r="L14">
        <v>1</v>
      </c>
      <c r="M14" t="s">
        <v>5</v>
      </c>
    </row>
    <row r="15" spans="1:17" ht="15.6" x14ac:dyDescent="0.35">
      <c r="A15" t="s">
        <v>60</v>
      </c>
      <c r="B15" t="s">
        <v>61</v>
      </c>
      <c r="C15">
        <v>2025</v>
      </c>
      <c r="D15" t="s">
        <v>2</v>
      </c>
      <c r="E15" s="39" t="s">
        <v>62</v>
      </c>
      <c r="F15">
        <v>764</v>
      </c>
      <c r="G15" t="s">
        <v>4</v>
      </c>
      <c r="H15" s="8">
        <v>1.132E-2</v>
      </c>
      <c r="I15" s="14" t="s">
        <v>58</v>
      </c>
      <c r="J15">
        <f t="shared" si="0"/>
        <v>8.6484799999999993</v>
      </c>
      <c r="K15" t="b">
        <v>1</v>
      </c>
      <c r="L15">
        <v>1</v>
      </c>
      <c r="M15" t="s">
        <v>5</v>
      </c>
    </row>
    <row r="16" spans="1:17" ht="15.6" x14ac:dyDescent="0.35">
      <c r="A16" t="s">
        <v>60</v>
      </c>
      <c r="B16" t="s">
        <v>61</v>
      </c>
      <c r="C16">
        <v>2025</v>
      </c>
      <c r="D16" t="s">
        <v>2</v>
      </c>
      <c r="E16" s="26" t="s">
        <v>8</v>
      </c>
      <c r="F16">
        <v>6210</v>
      </c>
      <c r="G16" t="s">
        <v>4</v>
      </c>
      <c r="H16" s="19">
        <v>0</v>
      </c>
      <c r="I16" s="14" t="s">
        <v>58</v>
      </c>
      <c r="J16">
        <f t="shared" si="0"/>
        <v>0</v>
      </c>
      <c r="K16" t="b">
        <v>1</v>
      </c>
      <c r="L16">
        <v>1</v>
      </c>
      <c r="M16" t="s">
        <v>9</v>
      </c>
    </row>
    <row r="17" spans="1:16" ht="15.6" x14ac:dyDescent="0.35">
      <c r="A17" t="s">
        <v>60</v>
      </c>
      <c r="B17" t="s">
        <v>61</v>
      </c>
      <c r="C17">
        <v>2025</v>
      </c>
      <c r="D17" t="s">
        <v>2</v>
      </c>
      <c r="E17" s="40" t="s">
        <v>10</v>
      </c>
      <c r="F17">
        <v>4772</v>
      </c>
      <c r="G17" t="s">
        <v>4</v>
      </c>
      <c r="H17" s="15">
        <v>0.20705000000000001</v>
      </c>
      <c r="I17" s="14" t="s">
        <v>58</v>
      </c>
      <c r="J17">
        <f t="shared" si="0"/>
        <v>988.04260000000011</v>
      </c>
      <c r="K17" t="b">
        <v>1</v>
      </c>
      <c r="L17">
        <v>1</v>
      </c>
      <c r="M17" t="s">
        <v>5</v>
      </c>
    </row>
    <row r="18" spans="1:16" ht="15.6" x14ac:dyDescent="0.35">
      <c r="A18" t="s">
        <v>60</v>
      </c>
      <c r="B18" t="s">
        <v>61</v>
      </c>
      <c r="C18">
        <v>2025</v>
      </c>
      <c r="D18" t="s">
        <v>2</v>
      </c>
      <c r="E18" s="26" t="s">
        <v>63</v>
      </c>
      <c r="F18">
        <v>309</v>
      </c>
      <c r="G18" t="s">
        <v>4</v>
      </c>
      <c r="H18" s="20">
        <v>0</v>
      </c>
      <c r="I18" s="14" t="s">
        <v>58</v>
      </c>
      <c r="J18">
        <f t="shared" si="0"/>
        <v>0</v>
      </c>
      <c r="K18" t="b">
        <v>1</v>
      </c>
      <c r="L18">
        <v>1</v>
      </c>
      <c r="M18" t="s">
        <v>64</v>
      </c>
    </row>
    <row r="19" spans="1:16" ht="15.6" x14ac:dyDescent="0.35">
      <c r="A19" t="s">
        <v>60</v>
      </c>
      <c r="B19" t="s">
        <v>61</v>
      </c>
      <c r="C19">
        <v>2025</v>
      </c>
      <c r="D19" t="s">
        <v>2</v>
      </c>
      <c r="E19" s="39" t="s">
        <v>65</v>
      </c>
      <c r="F19">
        <v>46</v>
      </c>
      <c r="G19" t="s">
        <v>4</v>
      </c>
      <c r="H19" s="21">
        <v>0.20705000000000001</v>
      </c>
      <c r="I19" s="14" t="s">
        <v>58</v>
      </c>
      <c r="J19">
        <f t="shared" si="0"/>
        <v>9.5243000000000002</v>
      </c>
      <c r="K19" t="b">
        <v>1</v>
      </c>
      <c r="L19">
        <v>1</v>
      </c>
      <c r="M19" t="s">
        <v>64</v>
      </c>
    </row>
    <row r="20" spans="1:16" ht="15.6" x14ac:dyDescent="0.35">
      <c r="A20" t="s">
        <v>60</v>
      </c>
      <c r="B20" t="s">
        <v>61</v>
      </c>
      <c r="C20">
        <v>2025</v>
      </c>
      <c r="D20" t="s">
        <v>2</v>
      </c>
      <c r="E20" s="40" t="s">
        <v>11</v>
      </c>
      <c r="F20">
        <v>100</v>
      </c>
      <c r="G20" t="s">
        <v>4</v>
      </c>
      <c r="H20" s="8">
        <v>0.20263999999999999</v>
      </c>
      <c r="I20" s="14" t="s">
        <v>58</v>
      </c>
      <c r="J20">
        <f t="shared" si="0"/>
        <v>20.263999999999999</v>
      </c>
      <c r="K20" t="b">
        <v>1</v>
      </c>
      <c r="L20">
        <v>1</v>
      </c>
      <c r="M20" t="s">
        <v>5</v>
      </c>
    </row>
    <row r="21" spans="1:16" ht="15.6" x14ac:dyDescent="0.35">
      <c r="A21" t="s">
        <v>60</v>
      </c>
      <c r="B21" t="s">
        <v>61</v>
      </c>
      <c r="C21">
        <v>2025</v>
      </c>
      <c r="D21" t="s">
        <v>2</v>
      </c>
      <c r="E21" s="40" t="s">
        <v>12</v>
      </c>
      <c r="F21">
        <v>570</v>
      </c>
      <c r="G21" t="s">
        <v>4</v>
      </c>
      <c r="H21" s="12">
        <v>0.17965</v>
      </c>
      <c r="I21" s="14" t="s">
        <v>58</v>
      </c>
      <c r="J21">
        <f t="shared" si="0"/>
        <v>102.40050000000001</v>
      </c>
      <c r="K21" t="b">
        <v>1</v>
      </c>
      <c r="L21">
        <v>1</v>
      </c>
      <c r="M21" t="s">
        <v>5</v>
      </c>
    </row>
    <row r="22" spans="1:16" ht="15.6" x14ac:dyDescent="0.35">
      <c r="A22" t="s">
        <v>60</v>
      </c>
      <c r="B22" t="s">
        <v>61</v>
      </c>
      <c r="C22">
        <v>2025</v>
      </c>
      <c r="D22" t="s">
        <v>2</v>
      </c>
      <c r="E22" s="46" t="s">
        <v>66</v>
      </c>
      <c r="F22">
        <v>562</v>
      </c>
      <c r="G22" t="s">
        <v>14</v>
      </c>
      <c r="H22" s="17">
        <v>0.15311</v>
      </c>
      <c r="I22" s="14" t="s">
        <v>58</v>
      </c>
      <c r="J22">
        <f t="shared" si="0"/>
        <v>86.047820000000002</v>
      </c>
      <c r="K22" t="b">
        <v>1</v>
      </c>
      <c r="L22">
        <v>1</v>
      </c>
      <c r="M22" t="s">
        <v>15</v>
      </c>
    </row>
    <row r="23" spans="1:16" ht="15.6" x14ac:dyDescent="0.35">
      <c r="A23" t="s">
        <v>60</v>
      </c>
      <c r="B23" t="s">
        <v>61</v>
      </c>
      <c r="C23">
        <v>2025</v>
      </c>
      <c r="D23" t="s">
        <v>2</v>
      </c>
      <c r="E23" s="44" t="s">
        <v>13</v>
      </c>
      <c r="F23">
        <v>422</v>
      </c>
      <c r="G23" t="s">
        <v>14</v>
      </c>
      <c r="H23" s="22">
        <v>0.34399999999999997</v>
      </c>
      <c r="I23" s="14" t="s">
        <v>58</v>
      </c>
      <c r="J23">
        <f t="shared" si="0"/>
        <v>145.16799999999998</v>
      </c>
      <c r="K23" t="b">
        <v>1</v>
      </c>
      <c r="L23">
        <v>1</v>
      </c>
      <c r="M23" t="s">
        <v>15</v>
      </c>
    </row>
    <row r="24" spans="1:16" ht="15.6" x14ac:dyDescent="0.35">
      <c r="A24" t="s">
        <v>60</v>
      </c>
      <c r="B24" t="s">
        <v>61</v>
      </c>
      <c r="C24">
        <v>2025</v>
      </c>
      <c r="D24" t="s">
        <v>2</v>
      </c>
      <c r="E24" s="45" t="s">
        <v>18</v>
      </c>
      <c r="F24">
        <v>740</v>
      </c>
      <c r="G24" t="s">
        <v>14</v>
      </c>
      <c r="H24" s="17">
        <v>0.15311</v>
      </c>
      <c r="I24" s="14" t="s">
        <v>58</v>
      </c>
      <c r="J24">
        <f t="shared" si="0"/>
        <v>113.3014</v>
      </c>
      <c r="K24" t="b">
        <v>1</v>
      </c>
      <c r="L24">
        <v>1</v>
      </c>
      <c r="M24" t="s">
        <v>5</v>
      </c>
    </row>
    <row r="25" spans="1:16" ht="15.6" x14ac:dyDescent="0.35">
      <c r="A25" t="s">
        <v>60</v>
      </c>
      <c r="B25" t="s">
        <v>61</v>
      </c>
      <c r="C25">
        <v>2025</v>
      </c>
      <c r="D25" t="s">
        <v>2</v>
      </c>
      <c r="E25" s="42" t="s">
        <v>19</v>
      </c>
      <c r="F25">
        <v>58</v>
      </c>
      <c r="G25" t="s">
        <v>14</v>
      </c>
      <c r="H25" s="20">
        <v>0</v>
      </c>
      <c r="I25" s="16" t="s">
        <v>58</v>
      </c>
      <c r="J25">
        <f t="shared" si="0"/>
        <v>0</v>
      </c>
      <c r="K25" t="b">
        <v>0</v>
      </c>
      <c r="L25">
        <v>0</v>
      </c>
      <c r="M25" t="s">
        <v>20</v>
      </c>
    </row>
    <row r="26" spans="1:16" ht="15.6" x14ac:dyDescent="0.35">
      <c r="A26" t="s">
        <v>60</v>
      </c>
      <c r="B26" t="s">
        <v>61</v>
      </c>
      <c r="C26">
        <v>2025</v>
      </c>
      <c r="D26" t="s">
        <v>2</v>
      </c>
      <c r="E26" s="46" t="s">
        <v>67</v>
      </c>
      <c r="F26">
        <v>450</v>
      </c>
      <c r="G26" t="s">
        <v>14</v>
      </c>
      <c r="H26" s="9">
        <v>0.18573999999999999</v>
      </c>
      <c r="I26" s="14" t="s">
        <v>58</v>
      </c>
      <c r="J26">
        <f t="shared" si="0"/>
        <v>83.582999999999998</v>
      </c>
      <c r="K26" t="b">
        <v>1</v>
      </c>
      <c r="L26">
        <v>1</v>
      </c>
      <c r="M26" t="s">
        <v>68</v>
      </c>
    </row>
    <row r="27" spans="1:16" ht="15.6" x14ac:dyDescent="0.35">
      <c r="A27" t="s">
        <v>60</v>
      </c>
      <c r="B27" t="s">
        <v>61</v>
      </c>
      <c r="C27">
        <v>2025</v>
      </c>
      <c r="D27" t="s">
        <v>2</v>
      </c>
      <c r="E27" s="44" t="s">
        <v>21</v>
      </c>
      <c r="F27">
        <v>311</v>
      </c>
      <c r="G27" t="s">
        <v>14</v>
      </c>
      <c r="H27" s="9">
        <v>0.18573999999999999</v>
      </c>
      <c r="I27" s="16" t="s">
        <v>58</v>
      </c>
      <c r="J27">
        <f t="shared" si="0"/>
        <v>57.765139999999995</v>
      </c>
      <c r="K27" t="b">
        <v>1</v>
      </c>
      <c r="L27">
        <v>1</v>
      </c>
      <c r="M27" t="s">
        <v>15</v>
      </c>
    </row>
    <row r="28" spans="1:16" ht="15.6" x14ac:dyDescent="0.35">
      <c r="A28" t="s">
        <v>60</v>
      </c>
      <c r="B28" t="s">
        <v>61</v>
      </c>
      <c r="C28">
        <v>2025</v>
      </c>
      <c r="D28" t="s">
        <v>2</v>
      </c>
      <c r="E28" s="44" t="s">
        <v>23</v>
      </c>
      <c r="F28">
        <v>637</v>
      </c>
      <c r="G28" t="s">
        <v>14</v>
      </c>
      <c r="H28" s="9">
        <v>0.18573999999999999</v>
      </c>
      <c r="I28" s="16" t="s">
        <v>58</v>
      </c>
      <c r="J28">
        <f t="shared" si="0"/>
        <v>118.31638</v>
      </c>
      <c r="K28" t="b">
        <v>1</v>
      </c>
      <c r="L28">
        <v>1</v>
      </c>
      <c r="M28" t="s">
        <v>5</v>
      </c>
    </row>
    <row r="30" spans="1:16" ht="15.6" x14ac:dyDescent="0.35">
      <c r="A30" t="s">
        <v>60</v>
      </c>
      <c r="B30" t="s">
        <v>61</v>
      </c>
      <c r="C30">
        <v>2025</v>
      </c>
      <c r="D30" t="s">
        <v>46</v>
      </c>
      <c r="E30" t="s">
        <v>3</v>
      </c>
      <c r="F30">
        <v>2846</v>
      </c>
      <c r="G30" t="s">
        <v>4</v>
      </c>
      <c r="H30" s="15">
        <v>0.20263999999999999</v>
      </c>
      <c r="I30" s="14" t="s">
        <v>58</v>
      </c>
      <c r="J30">
        <f>(F30*H30)</f>
        <v>576.71343999999999</v>
      </c>
      <c r="K30" t="b">
        <v>1</v>
      </c>
      <c r="L30">
        <v>1</v>
      </c>
      <c r="M30" t="s">
        <v>5</v>
      </c>
      <c r="O30">
        <f>(J30+J31+J32+J33+J37+J40+J41+J44+J45+J46)</f>
        <v>1259.6348</v>
      </c>
      <c r="P30">
        <f>(J35+J38+J39+J42)</f>
        <v>588.94367</v>
      </c>
    </row>
    <row r="31" spans="1:16" ht="15.6" x14ac:dyDescent="0.35">
      <c r="A31" t="s">
        <v>60</v>
      </c>
      <c r="B31" t="s">
        <v>61</v>
      </c>
      <c r="C31">
        <v>2025</v>
      </c>
      <c r="D31" t="s">
        <v>46</v>
      </c>
      <c r="E31" t="s">
        <v>6</v>
      </c>
      <c r="F31">
        <v>0</v>
      </c>
      <c r="G31" t="s">
        <v>4</v>
      </c>
      <c r="H31" s="15">
        <v>0.26807999999999998</v>
      </c>
      <c r="I31" s="14" t="s">
        <v>58</v>
      </c>
      <c r="J31">
        <f t="shared" ref="J31:J46" si="1">(F31*H31)</f>
        <v>0</v>
      </c>
      <c r="K31" t="b">
        <v>1</v>
      </c>
      <c r="L31">
        <v>0</v>
      </c>
      <c r="M31" t="s">
        <v>5</v>
      </c>
    </row>
    <row r="32" spans="1:16" ht="15.6" x14ac:dyDescent="0.35">
      <c r="A32" t="s">
        <v>60</v>
      </c>
      <c r="B32" t="s">
        <v>61</v>
      </c>
      <c r="C32">
        <v>2025</v>
      </c>
      <c r="D32" t="s">
        <v>46</v>
      </c>
      <c r="E32" t="s">
        <v>7</v>
      </c>
      <c r="F32">
        <v>706</v>
      </c>
      <c r="G32" t="s">
        <v>4</v>
      </c>
      <c r="H32" s="15">
        <v>0.23030999999999999</v>
      </c>
      <c r="I32" s="14" t="s">
        <v>58</v>
      </c>
      <c r="J32">
        <f t="shared" si="1"/>
        <v>162.59886</v>
      </c>
      <c r="K32" t="b">
        <v>1</v>
      </c>
      <c r="L32">
        <v>1</v>
      </c>
      <c r="M32" t="s">
        <v>5</v>
      </c>
    </row>
    <row r="33" spans="1:16" ht="15.6" x14ac:dyDescent="0.35">
      <c r="A33" t="s">
        <v>60</v>
      </c>
      <c r="B33" t="s">
        <v>61</v>
      </c>
      <c r="C33">
        <v>2025</v>
      </c>
      <c r="D33" t="s">
        <v>46</v>
      </c>
      <c r="E33" t="s">
        <v>62</v>
      </c>
      <c r="F33">
        <v>693</v>
      </c>
      <c r="G33" t="s">
        <v>4</v>
      </c>
      <c r="H33" s="8">
        <v>1.132E-2</v>
      </c>
      <c r="I33" s="14" t="s">
        <v>58</v>
      </c>
      <c r="J33">
        <f t="shared" si="1"/>
        <v>7.84476</v>
      </c>
      <c r="K33" t="b">
        <v>1</v>
      </c>
      <c r="L33">
        <v>1</v>
      </c>
      <c r="M33" t="s">
        <v>5</v>
      </c>
    </row>
    <row r="34" spans="1:16" ht="15.6" x14ac:dyDescent="0.35">
      <c r="A34" t="s">
        <v>60</v>
      </c>
      <c r="B34" t="s">
        <v>61</v>
      </c>
      <c r="C34">
        <v>2025</v>
      </c>
      <c r="D34" t="s">
        <v>46</v>
      </c>
      <c r="E34" t="s">
        <v>8</v>
      </c>
      <c r="F34">
        <v>7979</v>
      </c>
      <c r="G34" t="s">
        <v>4</v>
      </c>
      <c r="H34" s="19">
        <v>0</v>
      </c>
      <c r="I34" s="14" t="s">
        <v>58</v>
      </c>
      <c r="J34">
        <f t="shared" si="1"/>
        <v>0</v>
      </c>
      <c r="K34" t="b">
        <v>1</v>
      </c>
      <c r="L34">
        <v>1</v>
      </c>
      <c r="M34" t="s">
        <v>9</v>
      </c>
    </row>
    <row r="35" spans="1:16" ht="15.6" x14ac:dyDescent="0.35">
      <c r="A35" t="s">
        <v>60</v>
      </c>
      <c r="B35" t="s">
        <v>61</v>
      </c>
      <c r="C35">
        <v>2025</v>
      </c>
      <c r="D35" t="s">
        <v>46</v>
      </c>
      <c r="E35" t="s">
        <v>10</v>
      </c>
      <c r="F35">
        <v>1522</v>
      </c>
      <c r="G35" t="s">
        <v>4</v>
      </c>
      <c r="H35" s="15">
        <v>0.20705000000000001</v>
      </c>
      <c r="I35" s="14" t="s">
        <v>58</v>
      </c>
      <c r="J35">
        <f t="shared" si="1"/>
        <v>315.13010000000003</v>
      </c>
      <c r="K35" t="b">
        <v>1</v>
      </c>
      <c r="L35">
        <v>1</v>
      </c>
      <c r="M35" t="s">
        <v>5</v>
      </c>
    </row>
    <row r="36" spans="1:16" ht="15.6" x14ac:dyDescent="0.35">
      <c r="A36" t="s">
        <v>60</v>
      </c>
      <c r="B36" t="s">
        <v>61</v>
      </c>
      <c r="C36">
        <v>2025</v>
      </c>
      <c r="D36" t="s">
        <v>46</v>
      </c>
      <c r="E36" t="s">
        <v>63</v>
      </c>
      <c r="F36">
        <v>1779</v>
      </c>
      <c r="G36" t="s">
        <v>4</v>
      </c>
      <c r="H36" s="20">
        <v>0</v>
      </c>
      <c r="I36" s="14" t="s">
        <v>58</v>
      </c>
      <c r="J36">
        <f t="shared" si="1"/>
        <v>0</v>
      </c>
      <c r="K36" t="b">
        <v>1</v>
      </c>
      <c r="L36">
        <v>1</v>
      </c>
      <c r="M36" t="s">
        <v>64</v>
      </c>
    </row>
    <row r="37" spans="1:16" ht="15.6" x14ac:dyDescent="0.35">
      <c r="A37" t="s">
        <v>60</v>
      </c>
      <c r="B37" t="s">
        <v>61</v>
      </c>
      <c r="C37">
        <v>2025</v>
      </c>
      <c r="D37" t="s">
        <v>46</v>
      </c>
      <c r="E37" t="s">
        <v>65</v>
      </c>
      <c r="F37">
        <v>50</v>
      </c>
      <c r="G37" t="s">
        <v>4</v>
      </c>
      <c r="H37" s="21">
        <v>0.20705000000000001</v>
      </c>
      <c r="I37" s="14" t="s">
        <v>58</v>
      </c>
      <c r="J37">
        <f t="shared" si="1"/>
        <v>10.352500000000001</v>
      </c>
      <c r="K37" t="b">
        <v>1</v>
      </c>
      <c r="L37">
        <v>1</v>
      </c>
      <c r="M37" t="s">
        <v>64</v>
      </c>
    </row>
    <row r="38" spans="1:16" ht="15.6" x14ac:dyDescent="0.35">
      <c r="A38" t="s">
        <v>60</v>
      </c>
      <c r="B38" t="s">
        <v>61</v>
      </c>
      <c r="C38">
        <v>2025</v>
      </c>
      <c r="D38" t="s">
        <v>46</v>
      </c>
      <c r="E38" t="s">
        <v>11</v>
      </c>
      <c r="F38">
        <v>220</v>
      </c>
      <c r="G38" t="s">
        <v>4</v>
      </c>
      <c r="H38" s="8">
        <v>0.20263999999999999</v>
      </c>
      <c r="I38" s="14" t="s">
        <v>58</v>
      </c>
      <c r="J38">
        <f t="shared" si="1"/>
        <v>44.580799999999996</v>
      </c>
      <c r="K38" t="b">
        <v>1</v>
      </c>
      <c r="L38">
        <v>1</v>
      </c>
      <c r="M38" t="s">
        <v>5</v>
      </c>
    </row>
    <row r="39" spans="1:16" ht="15.6" x14ac:dyDescent="0.35">
      <c r="A39" t="s">
        <v>60</v>
      </c>
      <c r="B39" t="s">
        <v>61</v>
      </c>
      <c r="C39">
        <v>2025</v>
      </c>
      <c r="D39" t="s">
        <v>46</v>
      </c>
      <c r="E39" t="s">
        <v>12</v>
      </c>
      <c r="F39">
        <v>601</v>
      </c>
      <c r="G39" t="s">
        <v>4</v>
      </c>
      <c r="H39" s="12">
        <v>0.17965</v>
      </c>
      <c r="I39" s="14" t="s">
        <v>58</v>
      </c>
      <c r="J39">
        <f t="shared" si="1"/>
        <v>107.96965</v>
      </c>
      <c r="K39" t="b">
        <v>1</v>
      </c>
      <c r="L39">
        <v>1</v>
      </c>
      <c r="M39" t="s">
        <v>5</v>
      </c>
    </row>
    <row r="40" spans="1:16" ht="15.6" x14ac:dyDescent="0.35">
      <c r="A40" t="s">
        <v>60</v>
      </c>
      <c r="B40" t="s">
        <v>61</v>
      </c>
      <c r="C40">
        <v>2025</v>
      </c>
      <c r="D40" t="s">
        <v>46</v>
      </c>
      <c r="E40" s="1" t="s">
        <v>66</v>
      </c>
      <c r="F40">
        <v>516</v>
      </c>
      <c r="G40" t="s">
        <v>14</v>
      </c>
      <c r="H40" s="17">
        <v>0.15311</v>
      </c>
      <c r="I40" s="14" t="s">
        <v>58</v>
      </c>
      <c r="J40">
        <f t="shared" si="1"/>
        <v>79.004760000000005</v>
      </c>
      <c r="K40" t="b">
        <v>1</v>
      </c>
      <c r="L40">
        <v>1</v>
      </c>
      <c r="M40" t="s">
        <v>15</v>
      </c>
    </row>
    <row r="41" spans="1:16" ht="15.6" x14ac:dyDescent="0.35">
      <c r="A41" t="s">
        <v>60</v>
      </c>
      <c r="B41" t="s">
        <v>61</v>
      </c>
      <c r="C41">
        <v>2025</v>
      </c>
      <c r="D41" t="s">
        <v>46</v>
      </c>
      <c r="E41" s="18" t="s">
        <v>13</v>
      </c>
      <c r="F41">
        <v>500</v>
      </c>
      <c r="G41" t="s">
        <v>14</v>
      </c>
      <c r="H41" s="22">
        <v>0.34399999999999997</v>
      </c>
      <c r="I41" s="14" t="s">
        <v>58</v>
      </c>
      <c r="J41">
        <f t="shared" si="1"/>
        <v>172</v>
      </c>
      <c r="K41" t="b">
        <v>1</v>
      </c>
      <c r="L41">
        <v>1</v>
      </c>
      <c r="M41" t="s">
        <v>15</v>
      </c>
    </row>
    <row r="42" spans="1:16" ht="15.6" x14ac:dyDescent="0.35">
      <c r="A42" t="s">
        <v>60</v>
      </c>
      <c r="B42" t="s">
        <v>61</v>
      </c>
      <c r="C42">
        <v>2025</v>
      </c>
      <c r="D42" t="s">
        <v>46</v>
      </c>
      <c r="E42" s="18" t="s">
        <v>18</v>
      </c>
      <c r="F42">
        <v>792</v>
      </c>
      <c r="G42" t="s">
        <v>14</v>
      </c>
      <c r="H42" s="17">
        <v>0.15311</v>
      </c>
      <c r="I42" s="14" t="s">
        <v>58</v>
      </c>
      <c r="J42">
        <f t="shared" si="1"/>
        <v>121.26312</v>
      </c>
      <c r="K42" t="b">
        <v>1</v>
      </c>
      <c r="L42">
        <v>1</v>
      </c>
      <c r="M42" t="s">
        <v>5</v>
      </c>
    </row>
    <row r="43" spans="1:16" ht="15.6" x14ac:dyDescent="0.35">
      <c r="A43" t="s">
        <v>60</v>
      </c>
      <c r="B43" t="s">
        <v>61</v>
      </c>
      <c r="C43">
        <v>2025</v>
      </c>
      <c r="D43" t="s">
        <v>46</v>
      </c>
      <c r="E43" s="18" t="s">
        <v>19</v>
      </c>
      <c r="F43">
        <v>170</v>
      </c>
      <c r="G43" t="s">
        <v>14</v>
      </c>
      <c r="H43" s="20">
        <v>0</v>
      </c>
      <c r="I43" s="16" t="s">
        <v>58</v>
      </c>
      <c r="J43">
        <f t="shared" si="1"/>
        <v>0</v>
      </c>
      <c r="K43" t="b">
        <v>0</v>
      </c>
      <c r="L43">
        <v>0</v>
      </c>
      <c r="M43" t="s">
        <v>20</v>
      </c>
    </row>
    <row r="44" spans="1:16" ht="15.6" x14ac:dyDescent="0.35">
      <c r="A44" t="s">
        <v>60</v>
      </c>
      <c r="B44" t="s">
        <v>61</v>
      </c>
      <c r="C44">
        <v>2025</v>
      </c>
      <c r="D44" t="s">
        <v>46</v>
      </c>
      <c r="E44" s="1" t="s">
        <v>67</v>
      </c>
      <c r="F44">
        <v>453</v>
      </c>
      <c r="G44" t="s">
        <v>14</v>
      </c>
      <c r="H44" s="9">
        <v>0.18573999999999999</v>
      </c>
      <c r="I44" s="14" t="s">
        <v>58</v>
      </c>
      <c r="J44">
        <f t="shared" si="1"/>
        <v>84.140219999999999</v>
      </c>
      <c r="K44" t="b">
        <v>1</v>
      </c>
      <c r="L44">
        <v>1</v>
      </c>
      <c r="M44" t="s">
        <v>68</v>
      </c>
    </row>
    <row r="45" spans="1:16" ht="15.6" x14ac:dyDescent="0.35">
      <c r="A45" t="s">
        <v>60</v>
      </c>
      <c r="B45" t="s">
        <v>61</v>
      </c>
      <c r="C45">
        <v>2025</v>
      </c>
      <c r="D45" t="s">
        <v>46</v>
      </c>
      <c r="E45" s="18" t="s">
        <v>21</v>
      </c>
      <c r="F45">
        <v>337</v>
      </c>
      <c r="G45" t="s">
        <v>14</v>
      </c>
      <c r="H45" s="9">
        <v>0.18573999999999999</v>
      </c>
      <c r="I45" s="16" t="s">
        <v>58</v>
      </c>
      <c r="J45">
        <f t="shared" si="1"/>
        <v>62.594379999999994</v>
      </c>
      <c r="K45" t="b">
        <v>1</v>
      </c>
      <c r="L45">
        <v>1</v>
      </c>
      <c r="M45" t="s">
        <v>15</v>
      </c>
    </row>
    <row r="46" spans="1:16" ht="15.6" x14ac:dyDescent="0.35">
      <c r="A46" t="s">
        <v>60</v>
      </c>
      <c r="B46" t="s">
        <v>61</v>
      </c>
      <c r="C46">
        <v>2025</v>
      </c>
      <c r="D46" t="s">
        <v>46</v>
      </c>
      <c r="E46" s="18" t="s">
        <v>23</v>
      </c>
      <c r="F46">
        <v>562</v>
      </c>
      <c r="G46" t="s">
        <v>14</v>
      </c>
      <c r="H46" s="9">
        <v>0.18573999999999999</v>
      </c>
      <c r="I46" s="16" t="s">
        <v>58</v>
      </c>
      <c r="J46">
        <f t="shared" si="1"/>
        <v>104.38588</v>
      </c>
      <c r="K46" t="b">
        <v>1</v>
      </c>
      <c r="L46">
        <v>1</v>
      </c>
      <c r="M46" t="s">
        <v>5</v>
      </c>
    </row>
    <row r="48" spans="1:16" ht="15.6" x14ac:dyDescent="0.35">
      <c r="A48" t="s">
        <v>60</v>
      </c>
      <c r="B48" t="s">
        <v>61</v>
      </c>
      <c r="C48">
        <v>2025</v>
      </c>
      <c r="D48" t="s">
        <v>47</v>
      </c>
      <c r="E48" t="s">
        <v>3</v>
      </c>
      <c r="F48">
        <v>3027</v>
      </c>
      <c r="G48" t="s">
        <v>4</v>
      </c>
      <c r="H48" s="15">
        <v>0.20263999999999999</v>
      </c>
      <c r="I48" s="14" t="s">
        <v>58</v>
      </c>
      <c r="J48">
        <f>(F48*H48)</f>
        <v>613.39127999999994</v>
      </c>
      <c r="K48" t="b">
        <v>1</v>
      </c>
      <c r="L48">
        <v>1</v>
      </c>
      <c r="M48" t="s">
        <v>5</v>
      </c>
      <c r="O48">
        <f>(J48+J49+J50+J51+J55+J58+J59+J62+J63+J64)</f>
        <v>1567.0426999999995</v>
      </c>
      <c r="P48">
        <f>(J53+J56+J57+J60)</f>
        <v>1046.2822800000001</v>
      </c>
    </row>
    <row r="49" spans="1:13" ht="15.6" x14ac:dyDescent="0.35">
      <c r="A49" t="s">
        <v>60</v>
      </c>
      <c r="B49" t="s">
        <v>61</v>
      </c>
      <c r="C49">
        <v>2025</v>
      </c>
      <c r="D49" t="s">
        <v>47</v>
      </c>
      <c r="E49" t="s">
        <v>6</v>
      </c>
      <c r="F49">
        <v>751</v>
      </c>
      <c r="G49" t="s">
        <v>4</v>
      </c>
      <c r="H49" s="15">
        <v>0.26807999999999998</v>
      </c>
      <c r="I49" s="14" t="s">
        <v>58</v>
      </c>
      <c r="J49">
        <f t="shared" ref="J49:J64" si="2">(F49*H49)</f>
        <v>201.32808</v>
      </c>
      <c r="K49" t="b">
        <v>1</v>
      </c>
      <c r="L49">
        <v>1</v>
      </c>
      <c r="M49" t="s">
        <v>5</v>
      </c>
    </row>
    <row r="50" spans="1:13" ht="15.6" x14ac:dyDescent="0.35">
      <c r="A50" t="s">
        <v>60</v>
      </c>
      <c r="B50" t="s">
        <v>61</v>
      </c>
      <c r="C50">
        <v>2025</v>
      </c>
      <c r="D50" t="s">
        <v>47</v>
      </c>
      <c r="E50" t="s">
        <v>7</v>
      </c>
      <c r="F50">
        <v>696</v>
      </c>
      <c r="G50" t="s">
        <v>4</v>
      </c>
      <c r="H50" s="15">
        <v>0.23030999999999999</v>
      </c>
      <c r="I50" s="14" t="s">
        <v>58</v>
      </c>
      <c r="J50">
        <f t="shared" si="2"/>
        <v>160.29576</v>
      </c>
      <c r="K50" t="b">
        <v>1</v>
      </c>
      <c r="L50">
        <v>1</v>
      </c>
      <c r="M50" t="s">
        <v>5</v>
      </c>
    </row>
    <row r="51" spans="1:13" ht="15.6" x14ac:dyDescent="0.35">
      <c r="A51" t="s">
        <v>60</v>
      </c>
      <c r="B51" t="s">
        <v>61</v>
      </c>
      <c r="C51">
        <v>2025</v>
      </c>
      <c r="D51" t="s">
        <v>47</v>
      </c>
      <c r="E51" t="s">
        <v>62</v>
      </c>
      <c r="F51">
        <v>900</v>
      </c>
      <c r="G51" t="s">
        <v>4</v>
      </c>
      <c r="H51" s="8">
        <v>1.132E-2</v>
      </c>
      <c r="I51" s="14" t="s">
        <v>58</v>
      </c>
      <c r="J51">
        <f t="shared" si="2"/>
        <v>10.188000000000001</v>
      </c>
      <c r="K51" t="b">
        <v>1</v>
      </c>
      <c r="L51">
        <v>1</v>
      </c>
      <c r="M51" t="s">
        <v>5</v>
      </c>
    </row>
    <row r="52" spans="1:13" ht="15.6" x14ac:dyDescent="0.35">
      <c r="A52" t="s">
        <v>60</v>
      </c>
      <c r="B52" t="s">
        <v>61</v>
      </c>
      <c r="C52">
        <v>2025</v>
      </c>
      <c r="D52" t="s">
        <v>47</v>
      </c>
      <c r="E52" t="s">
        <v>8</v>
      </c>
      <c r="F52">
        <v>6022</v>
      </c>
      <c r="G52" t="s">
        <v>4</v>
      </c>
      <c r="H52" s="19">
        <v>0</v>
      </c>
      <c r="I52" s="14" t="s">
        <v>58</v>
      </c>
      <c r="J52">
        <f t="shared" si="2"/>
        <v>0</v>
      </c>
      <c r="K52" t="b">
        <v>1</v>
      </c>
      <c r="L52">
        <v>1</v>
      </c>
      <c r="M52" t="s">
        <v>9</v>
      </c>
    </row>
    <row r="53" spans="1:13" ht="15.6" x14ac:dyDescent="0.35">
      <c r="A53" t="s">
        <v>60</v>
      </c>
      <c r="B53" t="s">
        <v>61</v>
      </c>
      <c r="C53">
        <v>2025</v>
      </c>
      <c r="D53" t="s">
        <v>47</v>
      </c>
      <c r="E53" t="s">
        <v>10</v>
      </c>
      <c r="F53">
        <v>3692</v>
      </c>
      <c r="G53" t="s">
        <v>4</v>
      </c>
      <c r="H53" s="15">
        <v>0.20705000000000001</v>
      </c>
      <c r="I53" s="14" t="s">
        <v>58</v>
      </c>
      <c r="J53">
        <f t="shared" si="2"/>
        <v>764.42860000000007</v>
      </c>
      <c r="K53" t="b">
        <v>1</v>
      </c>
      <c r="L53">
        <v>1</v>
      </c>
      <c r="M53" t="s">
        <v>5</v>
      </c>
    </row>
    <row r="54" spans="1:13" ht="15.6" x14ac:dyDescent="0.35">
      <c r="A54" t="s">
        <v>60</v>
      </c>
      <c r="B54" t="s">
        <v>61</v>
      </c>
      <c r="C54">
        <v>2025</v>
      </c>
      <c r="D54" t="s">
        <v>47</v>
      </c>
      <c r="E54" t="s">
        <v>63</v>
      </c>
      <c r="F54">
        <v>1893</v>
      </c>
      <c r="G54" t="s">
        <v>4</v>
      </c>
      <c r="H54" s="20">
        <v>0</v>
      </c>
      <c r="I54" s="14" t="s">
        <v>58</v>
      </c>
      <c r="J54">
        <f t="shared" si="2"/>
        <v>0</v>
      </c>
      <c r="K54" t="b">
        <v>1</v>
      </c>
      <c r="L54">
        <v>1</v>
      </c>
      <c r="M54" t="s">
        <v>64</v>
      </c>
    </row>
    <row r="55" spans="1:13" ht="15.6" x14ac:dyDescent="0.35">
      <c r="A55" t="s">
        <v>60</v>
      </c>
      <c r="B55" t="s">
        <v>61</v>
      </c>
      <c r="C55">
        <v>2025</v>
      </c>
      <c r="D55" t="s">
        <v>47</v>
      </c>
      <c r="E55" t="s">
        <v>65</v>
      </c>
      <c r="F55">
        <v>75</v>
      </c>
      <c r="G55" t="s">
        <v>4</v>
      </c>
      <c r="H55" s="21">
        <v>0.20705000000000001</v>
      </c>
      <c r="I55" s="14" t="s">
        <v>58</v>
      </c>
      <c r="J55">
        <f t="shared" si="2"/>
        <v>15.52875</v>
      </c>
      <c r="K55" t="b">
        <v>1</v>
      </c>
      <c r="L55">
        <v>1</v>
      </c>
      <c r="M55" t="s">
        <v>64</v>
      </c>
    </row>
    <row r="56" spans="1:13" ht="15.6" x14ac:dyDescent="0.35">
      <c r="A56" t="s">
        <v>60</v>
      </c>
      <c r="B56" t="s">
        <v>61</v>
      </c>
      <c r="C56">
        <v>2025</v>
      </c>
      <c r="D56" t="s">
        <v>47</v>
      </c>
      <c r="E56" t="s">
        <v>11</v>
      </c>
      <c r="F56">
        <v>256</v>
      </c>
      <c r="G56" t="s">
        <v>4</v>
      </c>
      <c r="H56" s="8">
        <v>0.20263999999999999</v>
      </c>
      <c r="I56" s="14" t="s">
        <v>58</v>
      </c>
      <c r="J56">
        <f t="shared" si="2"/>
        <v>51.875839999999997</v>
      </c>
      <c r="K56" t="b">
        <v>1</v>
      </c>
      <c r="L56">
        <v>1</v>
      </c>
      <c r="M56" t="s">
        <v>5</v>
      </c>
    </row>
    <row r="57" spans="1:13" ht="15.6" x14ac:dyDescent="0.35">
      <c r="A57" t="s">
        <v>60</v>
      </c>
      <c r="B57" t="s">
        <v>61</v>
      </c>
      <c r="C57">
        <v>2025</v>
      </c>
      <c r="D57" t="s">
        <v>47</v>
      </c>
      <c r="E57" t="s">
        <v>12</v>
      </c>
      <c r="F57">
        <v>531</v>
      </c>
      <c r="G57" t="s">
        <v>4</v>
      </c>
      <c r="H57" s="12">
        <v>0.17965</v>
      </c>
      <c r="I57" s="14" t="s">
        <v>58</v>
      </c>
      <c r="J57">
        <f t="shared" si="2"/>
        <v>95.394149999999996</v>
      </c>
      <c r="K57" t="b">
        <v>1</v>
      </c>
      <c r="L57">
        <v>1</v>
      </c>
      <c r="M57" t="s">
        <v>5</v>
      </c>
    </row>
    <row r="58" spans="1:13" ht="15.6" x14ac:dyDescent="0.35">
      <c r="A58" t="s">
        <v>60</v>
      </c>
      <c r="B58" t="s">
        <v>61</v>
      </c>
      <c r="C58">
        <v>2025</v>
      </c>
      <c r="D58" t="s">
        <v>47</v>
      </c>
      <c r="E58" s="1" t="s">
        <v>66</v>
      </c>
      <c r="F58">
        <v>599</v>
      </c>
      <c r="G58" t="s">
        <v>14</v>
      </c>
      <c r="H58" s="17">
        <v>0.15311</v>
      </c>
      <c r="I58" s="14" t="s">
        <v>58</v>
      </c>
      <c r="J58">
        <f t="shared" si="2"/>
        <v>91.712890000000002</v>
      </c>
      <c r="K58" t="b">
        <v>1</v>
      </c>
      <c r="L58">
        <v>1</v>
      </c>
      <c r="M58" t="s">
        <v>15</v>
      </c>
    </row>
    <row r="59" spans="1:13" ht="15.6" x14ac:dyDescent="0.35">
      <c r="A59" t="s">
        <v>60</v>
      </c>
      <c r="B59" t="s">
        <v>61</v>
      </c>
      <c r="C59">
        <v>2025</v>
      </c>
      <c r="D59" t="s">
        <v>47</v>
      </c>
      <c r="E59" s="18" t="s">
        <v>13</v>
      </c>
      <c r="F59">
        <v>499</v>
      </c>
      <c r="G59" t="s">
        <v>14</v>
      </c>
      <c r="H59" s="22">
        <v>0.34399999999999997</v>
      </c>
      <c r="I59" s="14" t="s">
        <v>58</v>
      </c>
      <c r="J59">
        <f t="shared" si="2"/>
        <v>171.65599999999998</v>
      </c>
      <c r="K59" t="b">
        <v>1</v>
      </c>
      <c r="L59">
        <v>1</v>
      </c>
      <c r="M59" t="s">
        <v>15</v>
      </c>
    </row>
    <row r="60" spans="1:13" ht="15.6" x14ac:dyDescent="0.35">
      <c r="A60" t="s">
        <v>60</v>
      </c>
      <c r="B60" t="s">
        <v>61</v>
      </c>
      <c r="C60">
        <v>2025</v>
      </c>
      <c r="D60" t="s">
        <v>47</v>
      </c>
      <c r="E60" s="18" t="s">
        <v>18</v>
      </c>
      <c r="F60">
        <v>879</v>
      </c>
      <c r="G60" t="s">
        <v>14</v>
      </c>
      <c r="H60" s="17">
        <v>0.15311</v>
      </c>
      <c r="I60" s="14" t="s">
        <v>58</v>
      </c>
      <c r="J60">
        <f t="shared" si="2"/>
        <v>134.58368999999999</v>
      </c>
      <c r="K60" t="b">
        <v>1</v>
      </c>
      <c r="L60">
        <v>1</v>
      </c>
      <c r="M60" t="s">
        <v>5</v>
      </c>
    </row>
    <row r="61" spans="1:13" ht="15.6" x14ac:dyDescent="0.35">
      <c r="A61" t="s">
        <v>60</v>
      </c>
      <c r="B61" t="s">
        <v>61</v>
      </c>
      <c r="C61">
        <v>2025</v>
      </c>
      <c r="D61" t="s">
        <v>47</v>
      </c>
      <c r="E61" s="18" t="s">
        <v>19</v>
      </c>
      <c r="F61">
        <v>143</v>
      </c>
      <c r="G61" t="s">
        <v>14</v>
      </c>
      <c r="H61" s="20">
        <v>0</v>
      </c>
      <c r="I61" s="16" t="s">
        <v>58</v>
      </c>
      <c r="J61">
        <f t="shared" si="2"/>
        <v>0</v>
      </c>
      <c r="K61" t="b">
        <v>0</v>
      </c>
      <c r="L61">
        <v>0</v>
      </c>
      <c r="M61" t="s">
        <v>20</v>
      </c>
    </row>
    <row r="62" spans="1:13" ht="15.6" x14ac:dyDescent="0.35">
      <c r="A62" t="s">
        <v>60</v>
      </c>
      <c r="B62" t="s">
        <v>61</v>
      </c>
      <c r="C62">
        <v>2025</v>
      </c>
      <c r="D62" t="s">
        <v>47</v>
      </c>
      <c r="E62" s="1" t="s">
        <v>67</v>
      </c>
      <c r="F62">
        <v>500</v>
      </c>
      <c r="G62" t="s">
        <v>14</v>
      </c>
      <c r="H62" s="9">
        <v>0.18573999999999999</v>
      </c>
      <c r="I62" s="14" t="s">
        <v>58</v>
      </c>
      <c r="J62">
        <f t="shared" si="2"/>
        <v>92.86999999999999</v>
      </c>
      <c r="K62" t="b">
        <v>1</v>
      </c>
      <c r="L62">
        <v>1</v>
      </c>
      <c r="M62" t="s">
        <v>68</v>
      </c>
    </row>
    <row r="63" spans="1:13" ht="15.6" x14ac:dyDescent="0.35">
      <c r="A63" t="s">
        <v>60</v>
      </c>
      <c r="B63" t="s">
        <v>61</v>
      </c>
      <c r="C63">
        <v>2025</v>
      </c>
      <c r="D63" t="s">
        <v>47</v>
      </c>
      <c r="E63" s="18" t="s">
        <v>21</v>
      </c>
      <c r="F63">
        <v>561</v>
      </c>
      <c r="G63" t="s">
        <v>14</v>
      </c>
      <c r="H63" s="9">
        <v>0.18573999999999999</v>
      </c>
      <c r="I63" s="16" t="s">
        <v>58</v>
      </c>
      <c r="J63">
        <f t="shared" si="2"/>
        <v>104.20013999999999</v>
      </c>
      <c r="K63" t="b">
        <v>1</v>
      </c>
      <c r="L63">
        <v>1</v>
      </c>
      <c r="M63" t="s">
        <v>15</v>
      </c>
    </row>
    <row r="64" spans="1:13" ht="15.6" x14ac:dyDescent="0.35">
      <c r="A64" t="s">
        <v>60</v>
      </c>
      <c r="B64" t="s">
        <v>61</v>
      </c>
      <c r="C64">
        <v>2025</v>
      </c>
      <c r="D64" t="s">
        <v>47</v>
      </c>
      <c r="E64" s="18" t="s">
        <v>23</v>
      </c>
      <c r="F64">
        <v>570</v>
      </c>
      <c r="G64" t="s">
        <v>14</v>
      </c>
      <c r="H64" s="9">
        <v>0.18573999999999999</v>
      </c>
      <c r="I64" s="16" t="s">
        <v>58</v>
      </c>
      <c r="J64">
        <f t="shared" si="2"/>
        <v>105.87179999999999</v>
      </c>
      <c r="K64" t="b">
        <v>1</v>
      </c>
      <c r="L64">
        <v>1</v>
      </c>
      <c r="M64" t="s">
        <v>5</v>
      </c>
    </row>
    <row r="66" spans="1:16" ht="15.6" x14ac:dyDescent="0.35">
      <c r="A66" t="s">
        <v>60</v>
      </c>
      <c r="B66" t="s">
        <v>61</v>
      </c>
      <c r="C66">
        <v>2025</v>
      </c>
      <c r="D66" t="s">
        <v>48</v>
      </c>
      <c r="E66" t="s">
        <v>3</v>
      </c>
      <c r="F66">
        <v>3230</v>
      </c>
      <c r="G66" t="s">
        <v>4</v>
      </c>
      <c r="H66" s="15">
        <v>0.20263999999999999</v>
      </c>
      <c r="I66" s="14" t="s">
        <v>58</v>
      </c>
      <c r="J66">
        <f>(F66*H66)</f>
        <v>654.52719999999999</v>
      </c>
      <c r="K66" t="b">
        <v>1</v>
      </c>
      <c r="L66">
        <v>1</v>
      </c>
      <c r="M66" t="s">
        <v>5</v>
      </c>
      <c r="O66">
        <f>(J66+J67+J68+J69+J73+J76+J77+J80+J81+J82)</f>
        <v>1526.4203299999999</v>
      </c>
      <c r="P66">
        <f>(J71+J74+J75+J78)</f>
        <v>1279.3771200000003</v>
      </c>
    </row>
    <row r="67" spans="1:16" ht="15.6" x14ac:dyDescent="0.35">
      <c r="A67" t="s">
        <v>60</v>
      </c>
      <c r="B67" t="s">
        <v>61</v>
      </c>
      <c r="C67">
        <v>2025</v>
      </c>
      <c r="D67" t="s">
        <v>48</v>
      </c>
      <c r="E67" t="s">
        <v>6</v>
      </c>
      <c r="F67">
        <v>664</v>
      </c>
      <c r="G67" t="s">
        <v>4</v>
      </c>
      <c r="H67" s="15">
        <v>0.26807999999999998</v>
      </c>
      <c r="I67" s="14" t="s">
        <v>58</v>
      </c>
      <c r="J67">
        <f t="shared" ref="J67:J82" si="3">(F67*H67)</f>
        <v>178.00511999999998</v>
      </c>
      <c r="K67" t="b">
        <v>1</v>
      </c>
      <c r="L67">
        <v>1</v>
      </c>
      <c r="M67" t="s">
        <v>5</v>
      </c>
    </row>
    <row r="68" spans="1:16" ht="15.6" x14ac:dyDescent="0.35">
      <c r="A68" t="s">
        <v>60</v>
      </c>
      <c r="B68" t="s">
        <v>61</v>
      </c>
      <c r="C68">
        <v>2025</v>
      </c>
      <c r="D68" t="s">
        <v>48</v>
      </c>
      <c r="E68" t="s">
        <v>7</v>
      </c>
      <c r="F68">
        <v>653</v>
      </c>
      <c r="G68" t="s">
        <v>4</v>
      </c>
      <c r="H68" s="15">
        <v>0.23030999999999999</v>
      </c>
      <c r="I68" s="14" t="s">
        <v>58</v>
      </c>
      <c r="J68">
        <f t="shared" si="3"/>
        <v>150.39242999999999</v>
      </c>
      <c r="K68" t="b">
        <v>1</v>
      </c>
      <c r="L68">
        <v>1</v>
      </c>
      <c r="M68" t="s">
        <v>5</v>
      </c>
    </row>
    <row r="69" spans="1:16" ht="15.6" x14ac:dyDescent="0.35">
      <c r="A69" t="s">
        <v>60</v>
      </c>
      <c r="B69" t="s">
        <v>61</v>
      </c>
      <c r="C69">
        <v>2025</v>
      </c>
      <c r="D69" t="s">
        <v>48</v>
      </c>
      <c r="E69" t="s">
        <v>62</v>
      </c>
      <c r="F69">
        <v>600</v>
      </c>
      <c r="G69" t="s">
        <v>4</v>
      </c>
      <c r="H69" s="8">
        <v>1.132E-2</v>
      </c>
      <c r="I69" s="14" t="s">
        <v>58</v>
      </c>
      <c r="J69">
        <f t="shared" si="3"/>
        <v>6.7919999999999998</v>
      </c>
      <c r="K69" t="b">
        <v>1</v>
      </c>
      <c r="L69">
        <v>1</v>
      </c>
      <c r="M69" t="s">
        <v>5</v>
      </c>
    </row>
    <row r="70" spans="1:16" ht="15.6" x14ac:dyDescent="0.35">
      <c r="A70" t="s">
        <v>60</v>
      </c>
      <c r="B70" t="s">
        <v>61</v>
      </c>
      <c r="C70">
        <v>2025</v>
      </c>
      <c r="D70" t="s">
        <v>48</v>
      </c>
      <c r="E70" t="s">
        <v>8</v>
      </c>
      <c r="F70">
        <v>3872</v>
      </c>
      <c r="G70" t="s">
        <v>4</v>
      </c>
      <c r="H70" s="19">
        <v>0</v>
      </c>
      <c r="I70" s="14" t="s">
        <v>58</v>
      </c>
      <c r="J70">
        <f t="shared" si="3"/>
        <v>0</v>
      </c>
      <c r="K70" t="b">
        <v>1</v>
      </c>
      <c r="L70">
        <v>1</v>
      </c>
      <c r="M70" t="s">
        <v>9</v>
      </c>
    </row>
    <row r="71" spans="1:16" ht="15.6" x14ac:dyDescent="0.35">
      <c r="A71" t="s">
        <v>60</v>
      </c>
      <c r="B71" t="s">
        <v>61</v>
      </c>
      <c r="C71">
        <v>2025</v>
      </c>
      <c r="D71" t="s">
        <v>48</v>
      </c>
      <c r="E71" t="s">
        <v>10</v>
      </c>
      <c r="F71">
        <v>4769</v>
      </c>
      <c r="G71" t="s">
        <v>4</v>
      </c>
      <c r="H71" s="15">
        <v>0.20705000000000001</v>
      </c>
      <c r="I71" s="14" t="s">
        <v>58</v>
      </c>
      <c r="J71">
        <f t="shared" si="3"/>
        <v>987.42145000000005</v>
      </c>
      <c r="K71" t="b">
        <v>1</v>
      </c>
      <c r="L71">
        <v>1</v>
      </c>
      <c r="M71" t="s">
        <v>5</v>
      </c>
    </row>
    <row r="72" spans="1:16" ht="15.6" x14ac:dyDescent="0.35">
      <c r="A72" t="s">
        <v>60</v>
      </c>
      <c r="B72" t="s">
        <v>61</v>
      </c>
      <c r="C72">
        <v>2025</v>
      </c>
      <c r="D72" t="s">
        <v>48</v>
      </c>
      <c r="E72" t="s">
        <v>63</v>
      </c>
      <c r="F72">
        <v>1251</v>
      </c>
      <c r="G72" t="s">
        <v>4</v>
      </c>
      <c r="H72" s="20">
        <v>0</v>
      </c>
      <c r="I72" s="14" t="s">
        <v>58</v>
      </c>
      <c r="J72">
        <f t="shared" si="3"/>
        <v>0</v>
      </c>
      <c r="K72" t="b">
        <v>1</v>
      </c>
      <c r="L72">
        <v>1</v>
      </c>
      <c r="M72" t="s">
        <v>64</v>
      </c>
    </row>
    <row r="73" spans="1:16" ht="15.6" x14ac:dyDescent="0.35">
      <c r="A73" t="s">
        <v>60</v>
      </c>
      <c r="B73" t="s">
        <v>61</v>
      </c>
      <c r="C73">
        <v>2025</v>
      </c>
      <c r="D73" t="s">
        <v>48</v>
      </c>
      <c r="E73" t="s">
        <v>65</v>
      </c>
      <c r="F73">
        <v>117</v>
      </c>
      <c r="G73" t="s">
        <v>4</v>
      </c>
      <c r="H73" s="21">
        <v>0.20705000000000001</v>
      </c>
      <c r="I73" s="14" t="s">
        <v>58</v>
      </c>
      <c r="J73">
        <f t="shared" si="3"/>
        <v>24.22485</v>
      </c>
      <c r="K73" t="b">
        <v>1</v>
      </c>
      <c r="L73">
        <v>1</v>
      </c>
      <c r="M73" t="s">
        <v>64</v>
      </c>
    </row>
    <row r="74" spans="1:16" ht="15.6" x14ac:dyDescent="0.35">
      <c r="A74" t="s">
        <v>60</v>
      </c>
      <c r="B74" t="s">
        <v>61</v>
      </c>
      <c r="C74">
        <v>2025</v>
      </c>
      <c r="D74" t="s">
        <v>48</v>
      </c>
      <c r="E74" t="s">
        <v>11</v>
      </c>
      <c r="F74">
        <v>284</v>
      </c>
      <c r="G74" t="s">
        <v>4</v>
      </c>
      <c r="H74" s="8">
        <v>0.20263999999999999</v>
      </c>
      <c r="I74" s="14" t="s">
        <v>58</v>
      </c>
      <c r="J74">
        <f t="shared" si="3"/>
        <v>57.549759999999999</v>
      </c>
      <c r="K74" t="b">
        <v>1</v>
      </c>
      <c r="L74">
        <v>1</v>
      </c>
      <c r="M74" t="s">
        <v>5</v>
      </c>
    </row>
    <row r="75" spans="1:16" ht="15.6" x14ac:dyDescent="0.35">
      <c r="A75" t="s">
        <v>60</v>
      </c>
      <c r="B75" t="s">
        <v>61</v>
      </c>
      <c r="C75">
        <v>2025</v>
      </c>
      <c r="D75" t="s">
        <v>48</v>
      </c>
      <c r="E75" t="s">
        <v>12</v>
      </c>
      <c r="F75">
        <v>669</v>
      </c>
      <c r="G75" t="s">
        <v>4</v>
      </c>
      <c r="H75" s="12">
        <v>0.17965</v>
      </c>
      <c r="I75" s="14" t="s">
        <v>58</v>
      </c>
      <c r="J75">
        <f t="shared" si="3"/>
        <v>120.18585</v>
      </c>
      <c r="K75" t="b">
        <v>1</v>
      </c>
      <c r="L75">
        <v>1</v>
      </c>
      <c r="M75" t="s">
        <v>5</v>
      </c>
    </row>
    <row r="76" spans="1:16" ht="15.6" x14ac:dyDescent="0.35">
      <c r="A76" t="s">
        <v>60</v>
      </c>
      <c r="B76" t="s">
        <v>61</v>
      </c>
      <c r="C76">
        <v>2025</v>
      </c>
      <c r="D76" t="s">
        <v>48</v>
      </c>
      <c r="E76" s="1" t="s">
        <v>66</v>
      </c>
      <c r="F76">
        <v>559</v>
      </c>
      <c r="G76" t="s">
        <v>14</v>
      </c>
      <c r="H76" s="17">
        <v>0.15311</v>
      </c>
      <c r="I76" s="14" t="s">
        <v>58</v>
      </c>
      <c r="J76">
        <f t="shared" si="3"/>
        <v>85.588489999999993</v>
      </c>
      <c r="K76" t="b">
        <v>1</v>
      </c>
      <c r="L76">
        <v>1</v>
      </c>
      <c r="M76" t="s">
        <v>15</v>
      </c>
    </row>
    <row r="77" spans="1:16" ht="15.6" x14ac:dyDescent="0.35">
      <c r="A77" t="s">
        <v>60</v>
      </c>
      <c r="B77" t="s">
        <v>61</v>
      </c>
      <c r="C77">
        <v>2025</v>
      </c>
      <c r="D77" t="s">
        <v>48</v>
      </c>
      <c r="E77" s="18" t="s">
        <v>13</v>
      </c>
      <c r="F77">
        <v>498</v>
      </c>
      <c r="G77" t="s">
        <v>14</v>
      </c>
      <c r="H77" s="22">
        <v>0.34399999999999997</v>
      </c>
      <c r="I77" s="14" t="s">
        <v>58</v>
      </c>
      <c r="J77">
        <f t="shared" si="3"/>
        <v>171.31199999999998</v>
      </c>
      <c r="K77" t="b">
        <v>1</v>
      </c>
      <c r="L77">
        <v>1</v>
      </c>
      <c r="M77" t="s">
        <v>15</v>
      </c>
    </row>
    <row r="78" spans="1:16" ht="15.6" x14ac:dyDescent="0.35">
      <c r="A78" t="s">
        <v>60</v>
      </c>
      <c r="B78" t="s">
        <v>61</v>
      </c>
      <c r="C78">
        <v>2025</v>
      </c>
      <c r="D78" t="s">
        <v>48</v>
      </c>
      <c r="E78" s="18" t="s">
        <v>18</v>
      </c>
      <c r="F78">
        <v>746</v>
      </c>
      <c r="G78" t="s">
        <v>14</v>
      </c>
      <c r="H78" s="17">
        <v>0.15311</v>
      </c>
      <c r="I78" s="14" t="s">
        <v>58</v>
      </c>
      <c r="J78">
        <f t="shared" si="3"/>
        <v>114.22006</v>
      </c>
      <c r="K78" t="b">
        <v>1</v>
      </c>
      <c r="L78">
        <v>1</v>
      </c>
      <c r="M78" t="s">
        <v>5</v>
      </c>
    </row>
    <row r="79" spans="1:16" ht="15.6" x14ac:dyDescent="0.35">
      <c r="A79" t="s">
        <v>60</v>
      </c>
      <c r="B79" t="s">
        <v>61</v>
      </c>
      <c r="C79">
        <v>2025</v>
      </c>
      <c r="D79" t="s">
        <v>48</v>
      </c>
      <c r="E79" s="18" t="s">
        <v>19</v>
      </c>
      <c r="F79">
        <v>186</v>
      </c>
      <c r="G79" t="s">
        <v>14</v>
      </c>
      <c r="H79" s="20">
        <v>0</v>
      </c>
      <c r="I79" s="16" t="s">
        <v>58</v>
      </c>
      <c r="J79">
        <f t="shared" si="3"/>
        <v>0</v>
      </c>
      <c r="K79" t="b">
        <v>0</v>
      </c>
      <c r="L79">
        <v>0</v>
      </c>
      <c r="M79" t="s">
        <v>20</v>
      </c>
    </row>
    <row r="80" spans="1:16" ht="15.6" x14ac:dyDescent="0.35">
      <c r="A80" t="s">
        <v>60</v>
      </c>
      <c r="B80" t="s">
        <v>61</v>
      </c>
      <c r="C80">
        <v>2025</v>
      </c>
      <c r="D80" t="s">
        <v>48</v>
      </c>
      <c r="E80" s="1" t="s">
        <v>67</v>
      </c>
      <c r="F80">
        <v>460</v>
      </c>
      <c r="G80" t="s">
        <v>14</v>
      </c>
      <c r="H80" s="9">
        <v>0.18573999999999999</v>
      </c>
      <c r="I80" s="14" t="s">
        <v>58</v>
      </c>
      <c r="J80">
        <f t="shared" si="3"/>
        <v>85.440399999999997</v>
      </c>
      <c r="K80" t="b">
        <v>1</v>
      </c>
      <c r="L80">
        <v>1</v>
      </c>
      <c r="M80" t="s">
        <v>68</v>
      </c>
    </row>
    <row r="81" spans="1:16" ht="15.6" x14ac:dyDescent="0.35">
      <c r="A81" t="s">
        <v>60</v>
      </c>
      <c r="B81" t="s">
        <v>61</v>
      </c>
      <c r="C81">
        <v>2025</v>
      </c>
      <c r="D81" t="s">
        <v>48</v>
      </c>
      <c r="E81" s="18" t="s">
        <v>21</v>
      </c>
      <c r="F81">
        <v>288</v>
      </c>
      <c r="G81" t="s">
        <v>14</v>
      </c>
      <c r="H81" s="9">
        <v>0.18573999999999999</v>
      </c>
      <c r="I81" s="16" t="s">
        <v>58</v>
      </c>
      <c r="J81">
        <f t="shared" si="3"/>
        <v>53.493119999999998</v>
      </c>
      <c r="K81" t="b">
        <v>1</v>
      </c>
      <c r="L81">
        <v>1</v>
      </c>
      <c r="M81" t="s">
        <v>15</v>
      </c>
    </row>
    <row r="82" spans="1:16" ht="15.6" x14ac:dyDescent="0.35">
      <c r="A82" t="s">
        <v>60</v>
      </c>
      <c r="B82" t="s">
        <v>61</v>
      </c>
      <c r="C82">
        <v>2025</v>
      </c>
      <c r="D82" t="s">
        <v>48</v>
      </c>
      <c r="E82" s="18" t="s">
        <v>23</v>
      </c>
      <c r="F82">
        <v>628</v>
      </c>
      <c r="G82" t="s">
        <v>14</v>
      </c>
      <c r="H82" s="9">
        <v>0.18573999999999999</v>
      </c>
      <c r="I82" s="16" t="s">
        <v>58</v>
      </c>
      <c r="J82">
        <f t="shared" si="3"/>
        <v>116.64471999999999</v>
      </c>
      <c r="K82" t="b">
        <v>1</v>
      </c>
      <c r="L82">
        <v>1</v>
      </c>
      <c r="M82" t="s">
        <v>5</v>
      </c>
    </row>
    <row r="84" spans="1:16" ht="15.6" x14ac:dyDescent="0.35">
      <c r="A84" t="s">
        <v>60</v>
      </c>
      <c r="B84" t="s">
        <v>61</v>
      </c>
      <c r="C84">
        <v>2025</v>
      </c>
      <c r="D84" t="s">
        <v>49</v>
      </c>
      <c r="E84" t="s">
        <v>3</v>
      </c>
      <c r="F84">
        <v>3958</v>
      </c>
      <c r="G84" t="s">
        <v>4</v>
      </c>
      <c r="H84" s="15">
        <v>0.20263999999999999</v>
      </c>
      <c r="I84" s="14" t="s">
        <v>58</v>
      </c>
      <c r="J84">
        <f>(F84*H84)</f>
        <v>802.0491199999999</v>
      </c>
      <c r="K84" t="b">
        <v>1</v>
      </c>
      <c r="L84">
        <v>1</v>
      </c>
      <c r="M84" t="s">
        <v>5</v>
      </c>
      <c r="O84">
        <f>(J84+J85+J86+J87+J91+J94+J95+J98+J99+J100)</f>
        <v>1663.5315199999993</v>
      </c>
      <c r="P84">
        <f>(J89+J92+J93+J96)</f>
        <v>1879.6493300000002</v>
      </c>
    </row>
    <row r="85" spans="1:16" ht="15.6" x14ac:dyDescent="0.35">
      <c r="A85" t="s">
        <v>60</v>
      </c>
      <c r="B85" t="s">
        <v>61</v>
      </c>
      <c r="C85">
        <v>2025</v>
      </c>
      <c r="D85" t="s">
        <v>49</v>
      </c>
      <c r="E85" t="s">
        <v>6</v>
      </c>
      <c r="F85">
        <v>779</v>
      </c>
      <c r="G85" t="s">
        <v>4</v>
      </c>
      <c r="H85" s="15">
        <v>0.26807999999999998</v>
      </c>
      <c r="I85" s="14" t="s">
        <v>58</v>
      </c>
      <c r="J85">
        <f t="shared" ref="J85:J100" si="4">(F85*H85)</f>
        <v>208.83431999999999</v>
      </c>
      <c r="K85" t="b">
        <v>1</v>
      </c>
      <c r="L85">
        <v>1</v>
      </c>
      <c r="M85" t="s">
        <v>5</v>
      </c>
    </row>
    <row r="86" spans="1:16" ht="15.6" x14ac:dyDescent="0.35">
      <c r="A86" t="s">
        <v>60</v>
      </c>
      <c r="B86" t="s">
        <v>61</v>
      </c>
      <c r="C86">
        <v>2025</v>
      </c>
      <c r="D86" t="s">
        <v>49</v>
      </c>
      <c r="E86" t="s">
        <v>7</v>
      </c>
      <c r="F86">
        <v>481</v>
      </c>
      <c r="G86" t="s">
        <v>4</v>
      </c>
      <c r="H86" s="15">
        <v>0.23030999999999999</v>
      </c>
      <c r="I86" s="14" t="s">
        <v>58</v>
      </c>
      <c r="J86">
        <f t="shared" si="4"/>
        <v>110.77910999999999</v>
      </c>
      <c r="K86" t="b">
        <v>1</v>
      </c>
      <c r="L86">
        <v>1</v>
      </c>
      <c r="M86" t="s">
        <v>5</v>
      </c>
    </row>
    <row r="87" spans="1:16" ht="15.6" x14ac:dyDescent="0.35">
      <c r="A87" t="s">
        <v>60</v>
      </c>
      <c r="B87" t="s">
        <v>61</v>
      </c>
      <c r="C87">
        <v>2025</v>
      </c>
      <c r="D87" t="s">
        <v>49</v>
      </c>
      <c r="E87" t="s">
        <v>62</v>
      </c>
      <c r="F87">
        <v>742</v>
      </c>
      <c r="G87" t="s">
        <v>4</v>
      </c>
      <c r="H87" s="8">
        <v>1.132E-2</v>
      </c>
      <c r="I87" s="14" t="s">
        <v>58</v>
      </c>
      <c r="J87">
        <f t="shared" si="4"/>
        <v>8.3994400000000002</v>
      </c>
      <c r="K87" t="b">
        <v>1</v>
      </c>
      <c r="L87">
        <v>1</v>
      </c>
      <c r="M87" t="s">
        <v>5</v>
      </c>
    </row>
    <row r="88" spans="1:16" ht="15.6" x14ac:dyDescent="0.35">
      <c r="A88" t="s">
        <v>60</v>
      </c>
      <c r="B88" t="s">
        <v>61</v>
      </c>
      <c r="C88">
        <v>2025</v>
      </c>
      <c r="D88" t="s">
        <v>49</v>
      </c>
      <c r="E88" t="s">
        <v>8</v>
      </c>
      <c r="F88">
        <v>3996</v>
      </c>
      <c r="G88" t="s">
        <v>4</v>
      </c>
      <c r="H88" s="19">
        <v>0</v>
      </c>
      <c r="I88" s="14" t="s">
        <v>58</v>
      </c>
      <c r="J88">
        <f t="shared" si="4"/>
        <v>0</v>
      </c>
      <c r="K88" t="b">
        <v>1</v>
      </c>
      <c r="L88">
        <v>1</v>
      </c>
      <c r="M88" t="s">
        <v>9</v>
      </c>
    </row>
    <row r="89" spans="1:16" ht="15.6" x14ac:dyDescent="0.35">
      <c r="A89" t="s">
        <v>60</v>
      </c>
      <c r="B89" t="s">
        <v>61</v>
      </c>
      <c r="C89">
        <v>2025</v>
      </c>
      <c r="D89" t="s">
        <v>49</v>
      </c>
      <c r="E89" t="s">
        <v>10</v>
      </c>
      <c r="F89">
        <v>7768</v>
      </c>
      <c r="G89" t="s">
        <v>4</v>
      </c>
      <c r="H89" s="15">
        <v>0.20705000000000001</v>
      </c>
      <c r="I89" s="14" t="s">
        <v>58</v>
      </c>
      <c r="J89">
        <f t="shared" si="4"/>
        <v>1608.3644000000002</v>
      </c>
      <c r="K89" t="b">
        <v>1</v>
      </c>
      <c r="L89">
        <v>1</v>
      </c>
      <c r="M89" t="s">
        <v>5</v>
      </c>
    </row>
    <row r="90" spans="1:16" ht="15.6" x14ac:dyDescent="0.35">
      <c r="A90" t="s">
        <v>60</v>
      </c>
      <c r="B90" t="s">
        <v>61</v>
      </c>
      <c r="C90">
        <v>2025</v>
      </c>
      <c r="D90" t="s">
        <v>49</v>
      </c>
      <c r="E90" t="s">
        <v>63</v>
      </c>
      <c r="F90">
        <v>1955</v>
      </c>
      <c r="G90" t="s">
        <v>4</v>
      </c>
      <c r="H90" s="20">
        <v>0</v>
      </c>
      <c r="I90" s="14" t="s">
        <v>58</v>
      </c>
      <c r="J90">
        <f t="shared" si="4"/>
        <v>0</v>
      </c>
      <c r="K90" t="b">
        <v>1</v>
      </c>
      <c r="L90">
        <v>1</v>
      </c>
      <c r="M90" t="s">
        <v>64</v>
      </c>
    </row>
    <row r="91" spans="1:16" ht="15.6" x14ac:dyDescent="0.35">
      <c r="A91" t="s">
        <v>60</v>
      </c>
      <c r="B91" t="s">
        <v>61</v>
      </c>
      <c r="C91">
        <v>2025</v>
      </c>
      <c r="D91" t="s">
        <v>49</v>
      </c>
      <c r="E91" t="s">
        <v>65</v>
      </c>
      <c r="F91">
        <v>84</v>
      </c>
      <c r="G91" t="s">
        <v>4</v>
      </c>
      <c r="H91" s="21">
        <v>0.20705000000000001</v>
      </c>
      <c r="I91" s="14" t="s">
        <v>58</v>
      </c>
      <c r="J91">
        <f t="shared" si="4"/>
        <v>17.392200000000003</v>
      </c>
      <c r="K91" t="b">
        <v>1</v>
      </c>
      <c r="L91">
        <v>1</v>
      </c>
      <c r="M91" t="s">
        <v>64</v>
      </c>
    </row>
    <row r="92" spans="1:16" ht="15.6" x14ac:dyDescent="0.35">
      <c r="A92" t="s">
        <v>60</v>
      </c>
      <c r="B92" t="s">
        <v>61</v>
      </c>
      <c r="C92">
        <v>2025</v>
      </c>
      <c r="D92" t="s">
        <v>49</v>
      </c>
      <c r="E92" t="s">
        <v>11</v>
      </c>
      <c r="F92">
        <v>210</v>
      </c>
      <c r="G92" t="s">
        <v>4</v>
      </c>
      <c r="H92" s="8">
        <v>0.20263999999999999</v>
      </c>
      <c r="I92" s="14" t="s">
        <v>58</v>
      </c>
      <c r="J92">
        <f t="shared" si="4"/>
        <v>42.554399999999994</v>
      </c>
      <c r="K92" t="b">
        <v>1</v>
      </c>
      <c r="L92">
        <v>1</v>
      </c>
      <c r="M92" t="s">
        <v>5</v>
      </c>
    </row>
    <row r="93" spans="1:16" ht="15.6" x14ac:dyDescent="0.35">
      <c r="A93" t="s">
        <v>60</v>
      </c>
      <c r="B93" t="s">
        <v>61</v>
      </c>
      <c r="C93">
        <v>2025</v>
      </c>
      <c r="D93" t="s">
        <v>49</v>
      </c>
      <c r="E93" t="s">
        <v>12</v>
      </c>
      <c r="F93">
        <v>559</v>
      </c>
      <c r="G93" t="s">
        <v>4</v>
      </c>
      <c r="H93" s="12">
        <v>0.17965</v>
      </c>
      <c r="I93" s="14" t="s">
        <v>58</v>
      </c>
      <c r="J93">
        <f t="shared" si="4"/>
        <v>100.42435</v>
      </c>
      <c r="K93" t="b">
        <v>1</v>
      </c>
      <c r="L93">
        <v>1</v>
      </c>
      <c r="M93" t="s">
        <v>5</v>
      </c>
    </row>
    <row r="94" spans="1:16" ht="15.6" x14ac:dyDescent="0.35">
      <c r="A94" t="s">
        <v>60</v>
      </c>
      <c r="B94" t="s">
        <v>61</v>
      </c>
      <c r="C94">
        <v>2025</v>
      </c>
      <c r="D94" t="s">
        <v>49</v>
      </c>
      <c r="E94" s="1" t="s">
        <v>66</v>
      </c>
      <c r="F94">
        <v>595</v>
      </c>
      <c r="G94" t="s">
        <v>14</v>
      </c>
      <c r="H94" s="17">
        <v>0.15311</v>
      </c>
      <c r="I94" s="14" t="s">
        <v>58</v>
      </c>
      <c r="J94">
        <f t="shared" si="4"/>
        <v>91.100449999999995</v>
      </c>
      <c r="K94" t="b">
        <v>1</v>
      </c>
      <c r="L94">
        <v>1</v>
      </c>
      <c r="M94" t="s">
        <v>15</v>
      </c>
    </row>
    <row r="95" spans="1:16" ht="15.6" x14ac:dyDescent="0.35">
      <c r="A95" t="s">
        <v>60</v>
      </c>
      <c r="B95" t="s">
        <v>61</v>
      </c>
      <c r="C95">
        <v>2025</v>
      </c>
      <c r="D95" t="s">
        <v>49</v>
      </c>
      <c r="E95" s="18" t="s">
        <v>13</v>
      </c>
      <c r="F95">
        <v>473</v>
      </c>
      <c r="G95" t="s">
        <v>14</v>
      </c>
      <c r="H95" s="22">
        <v>0.34399999999999997</v>
      </c>
      <c r="I95" s="14" t="s">
        <v>58</v>
      </c>
      <c r="J95">
        <f t="shared" si="4"/>
        <v>162.71199999999999</v>
      </c>
      <c r="K95" t="b">
        <v>1</v>
      </c>
      <c r="L95">
        <v>1</v>
      </c>
      <c r="M95" t="s">
        <v>15</v>
      </c>
    </row>
    <row r="96" spans="1:16" ht="15.6" x14ac:dyDescent="0.35">
      <c r="A96" t="s">
        <v>60</v>
      </c>
      <c r="B96" t="s">
        <v>61</v>
      </c>
      <c r="C96">
        <v>2025</v>
      </c>
      <c r="D96" t="s">
        <v>49</v>
      </c>
      <c r="E96" s="18" t="s">
        <v>18</v>
      </c>
      <c r="F96">
        <v>838</v>
      </c>
      <c r="G96" t="s">
        <v>14</v>
      </c>
      <c r="H96" s="17">
        <v>0.15311</v>
      </c>
      <c r="I96" s="14" t="s">
        <v>58</v>
      </c>
      <c r="J96">
        <f t="shared" si="4"/>
        <v>128.30617999999998</v>
      </c>
      <c r="K96" t="b">
        <v>1</v>
      </c>
      <c r="L96">
        <v>1</v>
      </c>
      <c r="M96" t="s">
        <v>5</v>
      </c>
    </row>
    <row r="97" spans="1:16" ht="15.6" x14ac:dyDescent="0.35">
      <c r="A97" t="s">
        <v>60</v>
      </c>
      <c r="B97" t="s">
        <v>61</v>
      </c>
      <c r="C97">
        <v>2025</v>
      </c>
      <c r="D97" t="s">
        <v>49</v>
      </c>
      <c r="E97" s="18" t="s">
        <v>19</v>
      </c>
      <c r="F97">
        <v>196</v>
      </c>
      <c r="G97" t="s">
        <v>14</v>
      </c>
      <c r="H97" s="20">
        <v>0</v>
      </c>
      <c r="I97" s="16" t="s">
        <v>58</v>
      </c>
      <c r="J97">
        <f t="shared" si="4"/>
        <v>0</v>
      </c>
      <c r="K97" t="b">
        <v>0</v>
      </c>
      <c r="L97">
        <v>0</v>
      </c>
      <c r="M97" t="s">
        <v>20</v>
      </c>
    </row>
    <row r="98" spans="1:16" ht="15.6" x14ac:dyDescent="0.35">
      <c r="A98" t="s">
        <v>60</v>
      </c>
      <c r="B98" t="s">
        <v>61</v>
      </c>
      <c r="C98">
        <v>2025</v>
      </c>
      <c r="D98" t="s">
        <v>49</v>
      </c>
      <c r="E98" s="1" t="s">
        <v>67</v>
      </c>
      <c r="F98">
        <v>489</v>
      </c>
      <c r="G98" t="s">
        <v>14</v>
      </c>
      <c r="H98" s="9">
        <v>0.18573999999999999</v>
      </c>
      <c r="I98" s="14" t="s">
        <v>58</v>
      </c>
      <c r="J98">
        <f t="shared" si="4"/>
        <v>90.826859999999996</v>
      </c>
      <c r="K98" t="b">
        <v>1</v>
      </c>
      <c r="L98">
        <v>1</v>
      </c>
      <c r="M98" t="s">
        <v>68</v>
      </c>
    </row>
    <row r="99" spans="1:16" ht="15.6" x14ac:dyDescent="0.35">
      <c r="A99" t="s">
        <v>60</v>
      </c>
      <c r="B99" t="s">
        <v>61</v>
      </c>
      <c r="C99">
        <v>2025</v>
      </c>
      <c r="D99" t="s">
        <v>49</v>
      </c>
      <c r="E99" s="18" t="s">
        <v>21</v>
      </c>
      <c r="F99">
        <v>292</v>
      </c>
      <c r="G99" t="s">
        <v>14</v>
      </c>
      <c r="H99" s="9">
        <v>0.18573999999999999</v>
      </c>
      <c r="I99" s="16" t="s">
        <v>58</v>
      </c>
      <c r="J99">
        <f t="shared" si="4"/>
        <v>54.236079999999994</v>
      </c>
      <c r="K99" t="b">
        <v>1</v>
      </c>
      <c r="L99">
        <v>1</v>
      </c>
      <c r="M99" t="s">
        <v>15</v>
      </c>
    </row>
    <row r="100" spans="1:16" ht="15.6" x14ac:dyDescent="0.35">
      <c r="A100" t="s">
        <v>60</v>
      </c>
      <c r="B100" t="s">
        <v>61</v>
      </c>
      <c r="C100">
        <v>2025</v>
      </c>
      <c r="D100" t="s">
        <v>49</v>
      </c>
      <c r="E100" s="18" t="s">
        <v>23</v>
      </c>
      <c r="F100">
        <v>631</v>
      </c>
      <c r="G100" t="s">
        <v>14</v>
      </c>
      <c r="H100" s="9">
        <v>0.18573999999999999</v>
      </c>
      <c r="I100" s="16" t="s">
        <v>58</v>
      </c>
      <c r="J100">
        <f t="shared" si="4"/>
        <v>117.20193999999999</v>
      </c>
      <c r="K100" t="b">
        <v>1</v>
      </c>
      <c r="L100">
        <v>1</v>
      </c>
      <c r="M100" t="s">
        <v>5</v>
      </c>
    </row>
    <row r="102" spans="1:16" ht="15.6" x14ac:dyDescent="0.35">
      <c r="A102" t="s">
        <v>60</v>
      </c>
      <c r="B102" t="s">
        <v>61</v>
      </c>
      <c r="C102">
        <v>2025</v>
      </c>
      <c r="D102" t="s">
        <v>50</v>
      </c>
      <c r="E102" t="s">
        <v>3</v>
      </c>
      <c r="F102">
        <v>2586</v>
      </c>
      <c r="G102" t="s">
        <v>4</v>
      </c>
      <c r="H102" s="15">
        <v>0.20263999999999999</v>
      </c>
      <c r="I102" s="14" t="s">
        <v>58</v>
      </c>
      <c r="J102">
        <f>(F102*H102)</f>
        <v>524.02703999999994</v>
      </c>
      <c r="K102" t="b">
        <v>1</v>
      </c>
      <c r="L102">
        <v>1</v>
      </c>
      <c r="M102" t="s">
        <v>5</v>
      </c>
      <c r="O102">
        <f>(J102+J103+J104+J105+J109+J112+J113+J116+J117+J118)</f>
        <v>1410.4965</v>
      </c>
      <c r="P102">
        <f>(J107+J110+J111+J114)</f>
        <v>1702.4229599999999</v>
      </c>
    </row>
    <row r="103" spans="1:16" ht="15.6" x14ac:dyDescent="0.35">
      <c r="A103" t="s">
        <v>60</v>
      </c>
      <c r="B103" t="s">
        <v>61</v>
      </c>
      <c r="C103">
        <v>2025</v>
      </c>
      <c r="D103" t="s">
        <v>50</v>
      </c>
      <c r="E103" t="s">
        <v>6</v>
      </c>
      <c r="F103">
        <v>1260</v>
      </c>
      <c r="G103" t="s">
        <v>4</v>
      </c>
      <c r="H103" s="15">
        <v>0.26807999999999998</v>
      </c>
      <c r="I103" s="14" t="s">
        <v>58</v>
      </c>
      <c r="J103">
        <f t="shared" ref="J103:J118" si="5">(F103*H103)</f>
        <v>337.7808</v>
      </c>
      <c r="K103" t="b">
        <v>1</v>
      </c>
      <c r="L103">
        <v>1</v>
      </c>
      <c r="M103" t="s">
        <v>5</v>
      </c>
    </row>
    <row r="104" spans="1:16" ht="15.6" x14ac:dyDescent="0.35">
      <c r="A104" t="s">
        <v>60</v>
      </c>
      <c r="B104" t="s">
        <v>61</v>
      </c>
      <c r="C104">
        <v>2025</v>
      </c>
      <c r="D104" t="s">
        <v>50</v>
      </c>
      <c r="E104" t="s">
        <v>7</v>
      </c>
      <c r="F104">
        <v>134</v>
      </c>
      <c r="G104" t="s">
        <v>4</v>
      </c>
      <c r="H104" s="15">
        <v>0.23030999999999999</v>
      </c>
      <c r="I104" s="14" t="s">
        <v>58</v>
      </c>
      <c r="J104">
        <f t="shared" si="5"/>
        <v>30.861539999999998</v>
      </c>
      <c r="K104" t="b">
        <v>1</v>
      </c>
      <c r="L104">
        <v>1</v>
      </c>
      <c r="M104" t="s">
        <v>5</v>
      </c>
    </row>
    <row r="105" spans="1:16" ht="15.6" x14ac:dyDescent="0.35">
      <c r="A105" t="s">
        <v>60</v>
      </c>
      <c r="B105" t="s">
        <v>61</v>
      </c>
      <c r="C105">
        <v>2025</v>
      </c>
      <c r="D105" t="s">
        <v>50</v>
      </c>
      <c r="E105" t="s">
        <v>62</v>
      </c>
      <c r="F105">
        <v>770</v>
      </c>
      <c r="G105" t="s">
        <v>4</v>
      </c>
      <c r="H105" s="8">
        <v>1.132E-2</v>
      </c>
      <c r="I105" s="14" t="s">
        <v>58</v>
      </c>
      <c r="J105">
        <f t="shared" si="5"/>
        <v>8.7164000000000001</v>
      </c>
      <c r="K105" t="b">
        <v>1</v>
      </c>
      <c r="L105">
        <v>1</v>
      </c>
      <c r="M105" t="s">
        <v>5</v>
      </c>
    </row>
    <row r="106" spans="1:16" ht="15.6" x14ac:dyDescent="0.35">
      <c r="A106" t="s">
        <v>60</v>
      </c>
      <c r="B106" t="s">
        <v>61</v>
      </c>
      <c r="C106">
        <v>2025</v>
      </c>
      <c r="D106" t="s">
        <v>50</v>
      </c>
      <c r="E106" t="s">
        <v>8</v>
      </c>
      <c r="F106">
        <v>7676</v>
      </c>
      <c r="G106" t="s">
        <v>4</v>
      </c>
      <c r="H106" s="19">
        <v>0</v>
      </c>
      <c r="I106" s="14" t="s">
        <v>58</v>
      </c>
      <c r="J106">
        <f t="shared" si="5"/>
        <v>0</v>
      </c>
      <c r="K106" t="b">
        <v>1</v>
      </c>
      <c r="L106">
        <v>1</v>
      </c>
      <c r="M106" t="s">
        <v>9</v>
      </c>
    </row>
    <row r="107" spans="1:16" ht="15.6" x14ac:dyDescent="0.35">
      <c r="A107" t="s">
        <v>60</v>
      </c>
      <c r="B107" t="s">
        <v>61</v>
      </c>
      <c r="C107">
        <v>2025</v>
      </c>
      <c r="D107" t="s">
        <v>50</v>
      </c>
      <c r="E107" t="s">
        <v>10</v>
      </c>
      <c r="F107">
        <v>6933</v>
      </c>
      <c r="G107" t="s">
        <v>4</v>
      </c>
      <c r="H107" s="15">
        <v>0.20705000000000001</v>
      </c>
      <c r="I107" s="14" t="s">
        <v>58</v>
      </c>
      <c r="J107">
        <f t="shared" si="5"/>
        <v>1435.47765</v>
      </c>
      <c r="K107" t="b">
        <v>1</v>
      </c>
      <c r="L107">
        <v>1</v>
      </c>
      <c r="M107" t="s">
        <v>5</v>
      </c>
    </row>
    <row r="108" spans="1:16" ht="15.6" x14ac:dyDescent="0.35">
      <c r="A108" t="s">
        <v>60</v>
      </c>
      <c r="B108" t="s">
        <v>61</v>
      </c>
      <c r="C108">
        <v>2025</v>
      </c>
      <c r="D108" t="s">
        <v>50</v>
      </c>
      <c r="E108" t="s">
        <v>63</v>
      </c>
      <c r="F108">
        <v>330</v>
      </c>
      <c r="G108" t="s">
        <v>4</v>
      </c>
      <c r="H108" s="20">
        <v>0</v>
      </c>
      <c r="I108" s="14" t="s">
        <v>58</v>
      </c>
      <c r="J108">
        <f t="shared" si="5"/>
        <v>0</v>
      </c>
      <c r="K108" t="b">
        <v>1</v>
      </c>
      <c r="L108">
        <v>1</v>
      </c>
      <c r="M108" t="s">
        <v>64</v>
      </c>
    </row>
    <row r="109" spans="1:16" ht="15.6" x14ac:dyDescent="0.35">
      <c r="A109" t="s">
        <v>60</v>
      </c>
      <c r="B109" t="s">
        <v>61</v>
      </c>
      <c r="C109">
        <v>2025</v>
      </c>
      <c r="D109" t="s">
        <v>50</v>
      </c>
      <c r="E109" t="s">
        <v>65</v>
      </c>
      <c r="F109">
        <v>92</v>
      </c>
      <c r="G109" t="s">
        <v>4</v>
      </c>
      <c r="H109" s="21">
        <v>0.20705000000000001</v>
      </c>
      <c r="I109" s="14" t="s">
        <v>58</v>
      </c>
      <c r="J109">
        <f t="shared" si="5"/>
        <v>19.0486</v>
      </c>
      <c r="K109" t="b">
        <v>1</v>
      </c>
      <c r="L109">
        <v>1</v>
      </c>
      <c r="M109" t="s">
        <v>64</v>
      </c>
    </row>
    <row r="110" spans="1:16" ht="15.6" x14ac:dyDescent="0.35">
      <c r="A110" t="s">
        <v>60</v>
      </c>
      <c r="B110" t="s">
        <v>61</v>
      </c>
      <c r="C110">
        <v>2025</v>
      </c>
      <c r="D110" t="s">
        <v>50</v>
      </c>
      <c r="E110" t="s">
        <v>11</v>
      </c>
      <c r="F110">
        <v>230</v>
      </c>
      <c r="G110" t="s">
        <v>4</v>
      </c>
      <c r="H110" s="8">
        <v>0.20263999999999999</v>
      </c>
      <c r="I110" s="14" t="s">
        <v>58</v>
      </c>
      <c r="J110">
        <f t="shared" si="5"/>
        <v>46.607199999999999</v>
      </c>
      <c r="K110" t="b">
        <v>1</v>
      </c>
      <c r="L110">
        <v>1</v>
      </c>
      <c r="M110" t="s">
        <v>5</v>
      </c>
    </row>
    <row r="111" spans="1:16" ht="15.6" x14ac:dyDescent="0.35">
      <c r="A111" t="s">
        <v>60</v>
      </c>
      <c r="B111" t="s">
        <v>61</v>
      </c>
      <c r="C111">
        <v>2025</v>
      </c>
      <c r="D111" t="s">
        <v>50</v>
      </c>
      <c r="E111" t="s">
        <v>12</v>
      </c>
      <c r="F111">
        <v>612</v>
      </c>
      <c r="G111" t="s">
        <v>4</v>
      </c>
      <c r="H111" s="12">
        <v>0.17965</v>
      </c>
      <c r="I111" s="14" t="s">
        <v>58</v>
      </c>
      <c r="J111">
        <f t="shared" si="5"/>
        <v>109.94580000000001</v>
      </c>
      <c r="K111" t="b">
        <v>1</v>
      </c>
      <c r="L111">
        <v>1</v>
      </c>
      <c r="M111" t="s">
        <v>5</v>
      </c>
    </row>
    <row r="112" spans="1:16" ht="15.6" x14ac:dyDescent="0.35">
      <c r="A112" t="s">
        <v>60</v>
      </c>
      <c r="B112" t="s">
        <v>61</v>
      </c>
      <c r="C112">
        <v>2025</v>
      </c>
      <c r="D112" t="s">
        <v>50</v>
      </c>
      <c r="E112" s="1" t="s">
        <v>66</v>
      </c>
      <c r="F112">
        <v>586</v>
      </c>
      <c r="G112" t="s">
        <v>14</v>
      </c>
      <c r="H112" s="17">
        <v>0.15311</v>
      </c>
      <c r="I112" s="14" t="s">
        <v>58</v>
      </c>
      <c r="J112">
        <f t="shared" si="5"/>
        <v>89.722459999999998</v>
      </c>
      <c r="K112" t="b">
        <v>1</v>
      </c>
      <c r="L112">
        <v>1</v>
      </c>
      <c r="M112" t="s">
        <v>15</v>
      </c>
    </row>
    <row r="113" spans="1:16" ht="15.6" x14ac:dyDescent="0.35">
      <c r="A113" t="s">
        <v>60</v>
      </c>
      <c r="B113" t="s">
        <v>61</v>
      </c>
      <c r="C113">
        <v>2025</v>
      </c>
      <c r="D113" t="s">
        <v>50</v>
      </c>
      <c r="E113" s="18" t="s">
        <v>13</v>
      </c>
      <c r="F113">
        <v>403</v>
      </c>
      <c r="G113" t="s">
        <v>14</v>
      </c>
      <c r="H113" s="22">
        <v>0.34399999999999997</v>
      </c>
      <c r="I113" s="14" t="s">
        <v>58</v>
      </c>
      <c r="J113">
        <f t="shared" si="5"/>
        <v>138.63199999999998</v>
      </c>
      <c r="K113" t="b">
        <v>1</v>
      </c>
      <c r="L113">
        <v>1</v>
      </c>
      <c r="M113" t="s">
        <v>15</v>
      </c>
    </row>
    <row r="114" spans="1:16" ht="15.6" x14ac:dyDescent="0.35">
      <c r="A114" t="s">
        <v>60</v>
      </c>
      <c r="B114" t="s">
        <v>61</v>
      </c>
      <c r="C114">
        <v>2025</v>
      </c>
      <c r="D114" t="s">
        <v>50</v>
      </c>
      <c r="E114" s="18" t="s">
        <v>18</v>
      </c>
      <c r="F114">
        <v>721</v>
      </c>
      <c r="G114" t="s">
        <v>14</v>
      </c>
      <c r="H114" s="17">
        <v>0.15311</v>
      </c>
      <c r="I114" s="14" t="s">
        <v>58</v>
      </c>
      <c r="J114">
        <f t="shared" si="5"/>
        <v>110.39230999999999</v>
      </c>
      <c r="K114" t="b">
        <v>1</v>
      </c>
      <c r="L114">
        <v>1</v>
      </c>
      <c r="M114" t="s">
        <v>5</v>
      </c>
    </row>
    <row r="115" spans="1:16" ht="15.6" x14ac:dyDescent="0.35">
      <c r="A115" t="s">
        <v>60</v>
      </c>
      <c r="B115" t="s">
        <v>61</v>
      </c>
      <c r="C115">
        <v>2025</v>
      </c>
      <c r="D115" t="s">
        <v>50</v>
      </c>
      <c r="E115" s="18" t="s">
        <v>19</v>
      </c>
      <c r="F115">
        <v>79</v>
      </c>
      <c r="G115" t="s">
        <v>14</v>
      </c>
      <c r="H115" s="20">
        <v>0</v>
      </c>
      <c r="I115" s="16" t="s">
        <v>58</v>
      </c>
      <c r="J115">
        <f t="shared" si="5"/>
        <v>0</v>
      </c>
      <c r="K115" t="b">
        <v>0</v>
      </c>
      <c r="L115">
        <v>0</v>
      </c>
      <c r="M115" t="s">
        <v>20</v>
      </c>
    </row>
    <row r="116" spans="1:16" ht="15.6" x14ac:dyDescent="0.35">
      <c r="A116" t="s">
        <v>60</v>
      </c>
      <c r="B116" t="s">
        <v>61</v>
      </c>
      <c r="C116">
        <v>2025</v>
      </c>
      <c r="D116" t="s">
        <v>50</v>
      </c>
      <c r="E116" s="1" t="s">
        <v>67</v>
      </c>
      <c r="F116">
        <v>451</v>
      </c>
      <c r="G116" t="s">
        <v>14</v>
      </c>
      <c r="H116" s="9">
        <v>0.18573999999999999</v>
      </c>
      <c r="I116" s="14" t="s">
        <v>58</v>
      </c>
      <c r="J116">
        <f t="shared" si="5"/>
        <v>83.768739999999994</v>
      </c>
      <c r="K116" t="b">
        <v>1</v>
      </c>
      <c r="L116">
        <v>1</v>
      </c>
      <c r="M116" t="s">
        <v>68</v>
      </c>
    </row>
    <row r="117" spans="1:16" ht="15.6" x14ac:dyDescent="0.35">
      <c r="A117" t="s">
        <v>60</v>
      </c>
      <c r="B117" t="s">
        <v>61</v>
      </c>
      <c r="C117">
        <v>2025</v>
      </c>
      <c r="D117" t="s">
        <v>50</v>
      </c>
      <c r="E117" s="18" t="s">
        <v>21</v>
      </c>
      <c r="F117">
        <v>365</v>
      </c>
      <c r="G117" t="s">
        <v>14</v>
      </c>
      <c r="H117" s="9">
        <v>0.18573999999999999</v>
      </c>
      <c r="I117" s="16" t="s">
        <v>58</v>
      </c>
      <c r="J117">
        <f t="shared" si="5"/>
        <v>67.795099999999991</v>
      </c>
      <c r="K117" t="b">
        <v>1</v>
      </c>
      <c r="L117">
        <v>1</v>
      </c>
      <c r="M117" t="s">
        <v>15</v>
      </c>
    </row>
    <row r="118" spans="1:16" ht="15.6" x14ac:dyDescent="0.35">
      <c r="A118" t="s">
        <v>60</v>
      </c>
      <c r="B118" t="s">
        <v>61</v>
      </c>
      <c r="C118">
        <v>2025</v>
      </c>
      <c r="D118" t="s">
        <v>50</v>
      </c>
      <c r="E118" s="18" t="s">
        <v>23</v>
      </c>
      <c r="F118">
        <v>593</v>
      </c>
      <c r="G118" t="s">
        <v>14</v>
      </c>
      <c r="H118" s="9">
        <v>0.18573999999999999</v>
      </c>
      <c r="I118" s="16" t="s">
        <v>58</v>
      </c>
      <c r="J118">
        <f t="shared" si="5"/>
        <v>110.14381999999999</v>
      </c>
      <c r="K118" t="b">
        <v>1</v>
      </c>
      <c r="L118">
        <v>1</v>
      </c>
      <c r="M118" t="s">
        <v>5</v>
      </c>
    </row>
    <row r="120" spans="1:16" ht="15.6" x14ac:dyDescent="0.35">
      <c r="A120" t="s">
        <v>60</v>
      </c>
      <c r="B120" t="s">
        <v>61</v>
      </c>
      <c r="C120">
        <v>2025</v>
      </c>
      <c r="D120" t="s">
        <v>51</v>
      </c>
      <c r="E120" t="s">
        <v>3</v>
      </c>
      <c r="F120">
        <v>2628</v>
      </c>
      <c r="G120" t="s">
        <v>4</v>
      </c>
      <c r="H120" s="15">
        <v>0.20263999999999999</v>
      </c>
      <c r="I120" s="14" t="s">
        <v>58</v>
      </c>
      <c r="J120">
        <f>(F120*H120)</f>
        <v>532.53791999999999</v>
      </c>
      <c r="K120" t="b">
        <v>1</v>
      </c>
      <c r="L120">
        <v>1</v>
      </c>
      <c r="M120" t="s">
        <v>5</v>
      </c>
      <c r="O120">
        <f>(J120+J121+J122+J123+J127+J130+J131+J134+J135+J136)</f>
        <v>1129.7974399999998</v>
      </c>
      <c r="P120">
        <f>(J125+J128+J129+J132)</f>
        <v>1527.3400000000001</v>
      </c>
    </row>
    <row r="121" spans="1:16" ht="15.6" x14ac:dyDescent="0.35">
      <c r="A121" t="s">
        <v>60</v>
      </c>
      <c r="B121" t="s">
        <v>61</v>
      </c>
      <c r="C121">
        <v>2025</v>
      </c>
      <c r="D121" t="s">
        <v>51</v>
      </c>
      <c r="E121" t="s">
        <v>6</v>
      </c>
      <c r="F121">
        <v>0</v>
      </c>
      <c r="G121" t="s">
        <v>4</v>
      </c>
      <c r="H121" s="15">
        <v>0.26807999999999998</v>
      </c>
      <c r="I121" s="14" t="s">
        <v>58</v>
      </c>
      <c r="J121">
        <f t="shared" ref="J121:J136" si="6">(F121*H121)</f>
        <v>0</v>
      </c>
      <c r="K121" t="b">
        <v>1</v>
      </c>
      <c r="L121">
        <v>0</v>
      </c>
      <c r="M121" t="s">
        <v>5</v>
      </c>
    </row>
    <row r="122" spans="1:16" ht="15.6" x14ac:dyDescent="0.35">
      <c r="A122" t="s">
        <v>60</v>
      </c>
      <c r="B122" t="s">
        <v>61</v>
      </c>
      <c r="C122">
        <v>2025</v>
      </c>
      <c r="D122" t="s">
        <v>51</v>
      </c>
      <c r="E122" t="s">
        <v>7</v>
      </c>
      <c r="F122">
        <v>257</v>
      </c>
      <c r="G122" t="s">
        <v>4</v>
      </c>
      <c r="H122" s="15">
        <v>0.23030999999999999</v>
      </c>
      <c r="I122" s="14" t="s">
        <v>58</v>
      </c>
      <c r="J122">
        <f t="shared" si="6"/>
        <v>59.18967</v>
      </c>
      <c r="K122" t="b">
        <v>0</v>
      </c>
      <c r="L122">
        <v>0</v>
      </c>
      <c r="M122" t="s">
        <v>5</v>
      </c>
    </row>
    <row r="123" spans="1:16" ht="15.6" x14ac:dyDescent="0.35">
      <c r="A123" t="s">
        <v>60</v>
      </c>
      <c r="B123" t="s">
        <v>61</v>
      </c>
      <c r="C123">
        <v>2025</v>
      </c>
      <c r="D123" t="s">
        <v>51</v>
      </c>
      <c r="E123" t="s">
        <v>62</v>
      </c>
      <c r="F123">
        <v>645</v>
      </c>
      <c r="G123" t="s">
        <v>4</v>
      </c>
      <c r="H123" s="8">
        <v>1.132E-2</v>
      </c>
      <c r="I123" s="14" t="s">
        <v>58</v>
      </c>
      <c r="J123">
        <f t="shared" si="6"/>
        <v>7.3014000000000001</v>
      </c>
      <c r="K123" t="b">
        <v>1</v>
      </c>
      <c r="L123">
        <v>1</v>
      </c>
      <c r="M123" t="s">
        <v>5</v>
      </c>
    </row>
    <row r="124" spans="1:16" ht="15.6" x14ac:dyDescent="0.35">
      <c r="A124" t="s">
        <v>60</v>
      </c>
      <c r="B124" t="s">
        <v>61</v>
      </c>
      <c r="C124">
        <v>2025</v>
      </c>
      <c r="D124" t="s">
        <v>51</v>
      </c>
      <c r="E124" t="s">
        <v>8</v>
      </c>
      <c r="F124">
        <v>3181</v>
      </c>
      <c r="G124" t="s">
        <v>4</v>
      </c>
      <c r="H124" s="19">
        <v>0</v>
      </c>
      <c r="I124" s="14" t="s">
        <v>58</v>
      </c>
      <c r="J124">
        <f t="shared" si="6"/>
        <v>0</v>
      </c>
      <c r="K124" t="b">
        <v>1</v>
      </c>
      <c r="L124">
        <v>1</v>
      </c>
      <c r="M124" t="s">
        <v>9</v>
      </c>
    </row>
    <row r="125" spans="1:16" ht="15.6" x14ac:dyDescent="0.35">
      <c r="A125" t="s">
        <v>60</v>
      </c>
      <c r="B125" t="s">
        <v>61</v>
      </c>
      <c r="C125">
        <v>2025</v>
      </c>
      <c r="D125" t="s">
        <v>51</v>
      </c>
      <c r="E125" t="s">
        <v>10</v>
      </c>
      <c r="F125">
        <v>5980</v>
      </c>
      <c r="G125" t="s">
        <v>4</v>
      </c>
      <c r="H125" s="15">
        <v>0.20705000000000001</v>
      </c>
      <c r="I125" s="14" t="s">
        <v>58</v>
      </c>
      <c r="J125">
        <f t="shared" si="6"/>
        <v>1238.1590000000001</v>
      </c>
      <c r="K125" t="b">
        <v>1</v>
      </c>
      <c r="L125">
        <v>1</v>
      </c>
      <c r="M125" t="s">
        <v>5</v>
      </c>
    </row>
    <row r="126" spans="1:16" ht="15.6" x14ac:dyDescent="0.35">
      <c r="A126" t="s">
        <v>60</v>
      </c>
      <c r="B126" t="s">
        <v>61</v>
      </c>
      <c r="C126">
        <v>2025</v>
      </c>
      <c r="D126" t="s">
        <v>51</v>
      </c>
      <c r="E126" t="s">
        <v>63</v>
      </c>
      <c r="F126">
        <v>314</v>
      </c>
      <c r="G126" t="s">
        <v>4</v>
      </c>
      <c r="H126" s="20">
        <v>0</v>
      </c>
      <c r="I126" s="14" t="s">
        <v>58</v>
      </c>
      <c r="J126">
        <f t="shared" si="6"/>
        <v>0</v>
      </c>
      <c r="K126" t="b">
        <v>1</v>
      </c>
      <c r="L126">
        <v>1</v>
      </c>
      <c r="M126" t="s">
        <v>64</v>
      </c>
    </row>
    <row r="127" spans="1:16" ht="15.6" x14ac:dyDescent="0.35">
      <c r="A127" t="s">
        <v>60</v>
      </c>
      <c r="B127" t="s">
        <v>61</v>
      </c>
      <c r="C127">
        <v>2025</v>
      </c>
      <c r="D127" t="s">
        <v>51</v>
      </c>
      <c r="E127" t="s">
        <v>65</v>
      </c>
      <c r="F127">
        <v>150</v>
      </c>
      <c r="G127" t="s">
        <v>4</v>
      </c>
      <c r="H127" s="21">
        <v>0.20705000000000001</v>
      </c>
      <c r="I127" s="14" t="s">
        <v>58</v>
      </c>
      <c r="J127">
        <f t="shared" si="6"/>
        <v>31.057500000000001</v>
      </c>
      <c r="K127" t="b">
        <v>1</v>
      </c>
      <c r="L127">
        <v>1</v>
      </c>
      <c r="M127" t="s">
        <v>64</v>
      </c>
    </row>
    <row r="128" spans="1:16" ht="15.6" x14ac:dyDescent="0.35">
      <c r="A128" t="s">
        <v>60</v>
      </c>
      <c r="B128" t="s">
        <v>61</v>
      </c>
      <c r="C128">
        <v>2025</v>
      </c>
      <c r="D128" t="s">
        <v>51</v>
      </c>
      <c r="E128" t="s">
        <v>11</v>
      </c>
      <c r="F128">
        <v>249</v>
      </c>
      <c r="G128" t="s">
        <v>4</v>
      </c>
      <c r="H128" s="8">
        <v>0.20263999999999999</v>
      </c>
      <c r="I128" s="14" t="s">
        <v>58</v>
      </c>
      <c r="J128">
        <f t="shared" si="6"/>
        <v>50.457359999999994</v>
      </c>
      <c r="K128" t="b">
        <v>1</v>
      </c>
      <c r="L128">
        <v>1</v>
      </c>
      <c r="M128" t="s">
        <v>5</v>
      </c>
    </row>
    <row r="129" spans="1:16" ht="15.6" x14ac:dyDescent="0.35">
      <c r="A129" t="s">
        <v>60</v>
      </c>
      <c r="B129" t="s">
        <v>61</v>
      </c>
      <c r="C129">
        <v>2025</v>
      </c>
      <c r="D129" t="s">
        <v>51</v>
      </c>
      <c r="E129" t="s">
        <v>12</v>
      </c>
      <c r="F129">
        <v>699</v>
      </c>
      <c r="G129" t="s">
        <v>4</v>
      </c>
      <c r="H129" s="12">
        <v>0.17965</v>
      </c>
      <c r="I129" s="14" t="s">
        <v>58</v>
      </c>
      <c r="J129">
        <f t="shared" si="6"/>
        <v>125.57535</v>
      </c>
      <c r="K129" t="b">
        <v>1</v>
      </c>
      <c r="L129">
        <v>1</v>
      </c>
      <c r="M129" t="s">
        <v>5</v>
      </c>
    </row>
    <row r="130" spans="1:16" ht="15.6" x14ac:dyDescent="0.35">
      <c r="A130" t="s">
        <v>60</v>
      </c>
      <c r="B130" t="s">
        <v>61</v>
      </c>
      <c r="C130">
        <v>2025</v>
      </c>
      <c r="D130" t="s">
        <v>51</v>
      </c>
      <c r="E130" s="1" t="s">
        <v>66</v>
      </c>
      <c r="F130">
        <v>561</v>
      </c>
      <c r="G130" t="s">
        <v>14</v>
      </c>
      <c r="H130" s="17">
        <v>0.15311</v>
      </c>
      <c r="I130" s="14" t="s">
        <v>58</v>
      </c>
      <c r="J130">
        <f t="shared" si="6"/>
        <v>85.894710000000003</v>
      </c>
      <c r="K130" t="b">
        <v>1</v>
      </c>
      <c r="L130">
        <v>1</v>
      </c>
      <c r="M130" t="s">
        <v>15</v>
      </c>
    </row>
    <row r="131" spans="1:16" ht="15.6" x14ac:dyDescent="0.35">
      <c r="A131" t="s">
        <v>60</v>
      </c>
      <c r="B131" t="s">
        <v>61</v>
      </c>
      <c r="C131">
        <v>2025</v>
      </c>
      <c r="D131" t="s">
        <v>51</v>
      </c>
      <c r="E131" s="18" t="s">
        <v>13</v>
      </c>
      <c r="F131">
        <v>406</v>
      </c>
      <c r="G131" t="s">
        <v>14</v>
      </c>
      <c r="H131" s="22">
        <v>0.34399999999999997</v>
      </c>
      <c r="I131" s="14" t="s">
        <v>58</v>
      </c>
      <c r="J131">
        <f t="shared" si="6"/>
        <v>139.66399999999999</v>
      </c>
      <c r="K131" t="b">
        <v>1</v>
      </c>
      <c r="L131">
        <v>1</v>
      </c>
      <c r="M131" t="s">
        <v>15</v>
      </c>
    </row>
    <row r="132" spans="1:16" ht="15.6" x14ac:dyDescent="0.35">
      <c r="A132" t="s">
        <v>60</v>
      </c>
      <c r="B132" t="s">
        <v>61</v>
      </c>
      <c r="C132">
        <v>2025</v>
      </c>
      <c r="D132" t="s">
        <v>51</v>
      </c>
      <c r="E132" s="18" t="s">
        <v>18</v>
      </c>
      <c r="F132">
        <v>739</v>
      </c>
      <c r="G132" t="s">
        <v>14</v>
      </c>
      <c r="H132" s="17">
        <v>0.15311</v>
      </c>
      <c r="I132" s="14" t="s">
        <v>58</v>
      </c>
      <c r="J132">
        <f t="shared" si="6"/>
        <v>113.14829</v>
      </c>
      <c r="K132" t="b">
        <v>1</v>
      </c>
      <c r="L132">
        <v>1</v>
      </c>
      <c r="M132" t="s">
        <v>5</v>
      </c>
    </row>
    <row r="133" spans="1:16" ht="15.6" x14ac:dyDescent="0.35">
      <c r="A133" t="s">
        <v>60</v>
      </c>
      <c r="B133" t="s">
        <v>61</v>
      </c>
      <c r="C133">
        <v>2025</v>
      </c>
      <c r="D133" t="s">
        <v>51</v>
      </c>
      <c r="E133" s="18" t="s">
        <v>19</v>
      </c>
      <c r="F133">
        <v>142</v>
      </c>
      <c r="G133" t="s">
        <v>14</v>
      </c>
      <c r="H133" s="20">
        <v>0</v>
      </c>
      <c r="I133" s="16" t="s">
        <v>58</v>
      </c>
      <c r="J133">
        <f t="shared" si="6"/>
        <v>0</v>
      </c>
      <c r="K133" t="b">
        <v>0</v>
      </c>
      <c r="L133">
        <v>0</v>
      </c>
      <c r="M133" t="s">
        <v>20</v>
      </c>
    </row>
    <row r="134" spans="1:16" ht="15.6" x14ac:dyDescent="0.35">
      <c r="A134" t="s">
        <v>60</v>
      </c>
      <c r="B134" t="s">
        <v>61</v>
      </c>
      <c r="C134">
        <v>2025</v>
      </c>
      <c r="D134" t="s">
        <v>51</v>
      </c>
      <c r="E134" s="1" t="s">
        <v>67</v>
      </c>
      <c r="F134">
        <v>473</v>
      </c>
      <c r="G134" t="s">
        <v>14</v>
      </c>
      <c r="H134" s="9">
        <v>0.18573999999999999</v>
      </c>
      <c r="I134" s="14" t="s">
        <v>58</v>
      </c>
      <c r="J134">
        <f t="shared" si="6"/>
        <v>87.855019999999996</v>
      </c>
      <c r="K134" t="b">
        <v>1</v>
      </c>
      <c r="L134">
        <v>1</v>
      </c>
      <c r="M134" t="s">
        <v>68</v>
      </c>
    </row>
    <row r="135" spans="1:16" ht="15.6" x14ac:dyDescent="0.35">
      <c r="A135" t="s">
        <v>60</v>
      </c>
      <c r="B135" t="s">
        <v>61</v>
      </c>
      <c r="C135">
        <v>2025</v>
      </c>
      <c r="D135" t="s">
        <v>51</v>
      </c>
      <c r="E135" s="18" t="s">
        <v>21</v>
      </c>
      <c r="F135">
        <v>368</v>
      </c>
      <c r="G135" t="s">
        <v>14</v>
      </c>
      <c r="H135" s="9">
        <v>0.18573999999999999</v>
      </c>
      <c r="I135" s="16" t="s">
        <v>58</v>
      </c>
      <c r="J135">
        <f t="shared" si="6"/>
        <v>68.352319999999992</v>
      </c>
      <c r="K135" t="b">
        <v>1</v>
      </c>
      <c r="L135">
        <v>1</v>
      </c>
      <c r="M135" t="s">
        <v>15</v>
      </c>
    </row>
    <row r="136" spans="1:16" ht="15.6" x14ac:dyDescent="0.35">
      <c r="A136" t="s">
        <v>60</v>
      </c>
      <c r="B136" t="s">
        <v>61</v>
      </c>
      <c r="C136">
        <v>2025</v>
      </c>
      <c r="D136" t="s">
        <v>51</v>
      </c>
      <c r="E136" s="18" t="s">
        <v>23</v>
      </c>
      <c r="F136">
        <v>635</v>
      </c>
      <c r="G136" t="s">
        <v>14</v>
      </c>
      <c r="H136" s="9">
        <v>0.18573999999999999</v>
      </c>
      <c r="I136" s="16" t="s">
        <v>58</v>
      </c>
      <c r="J136">
        <f t="shared" si="6"/>
        <v>117.94489999999999</v>
      </c>
      <c r="K136" t="b">
        <v>1</v>
      </c>
      <c r="L136">
        <v>1</v>
      </c>
      <c r="M136" t="s">
        <v>5</v>
      </c>
    </row>
    <row r="138" spans="1:16" ht="15.6" x14ac:dyDescent="0.35">
      <c r="A138" t="s">
        <v>60</v>
      </c>
      <c r="B138" t="s">
        <v>61</v>
      </c>
      <c r="C138">
        <v>2025</v>
      </c>
      <c r="D138" t="s">
        <v>52</v>
      </c>
      <c r="E138" t="s">
        <v>3</v>
      </c>
      <c r="F138">
        <v>3973</v>
      </c>
      <c r="G138" t="s">
        <v>4</v>
      </c>
      <c r="H138" s="15">
        <v>0.20263999999999999</v>
      </c>
      <c r="I138" s="14" t="s">
        <v>58</v>
      </c>
      <c r="J138">
        <f>(F138*H138)</f>
        <v>805.08871999999997</v>
      </c>
      <c r="K138" t="b">
        <v>1</v>
      </c>
      <c r="L138">
        <v>1</v>
      </c>
      <c r="M138" t="s">
        <v>5</v>
      </c>
      <c r="O138">
        <f>(J138+J139+J140+J141+J145+J148+J149+J152+J153+J154)</f>
        <v>1865.5114999999998</v>
      </c>
      <c r="P138">
        <f>(J143+J146+J147+J150)</f>
        <v>1651.6926100000001</v>
      </c>
    </row>
    <row r="139" spans="1:16" ht="15.6" x14ac:dyDescent="0.35">
      <c r="A139" t="s">
        <v>60</v>
      </c>
      <c r="B139" t="s">
        <v>61</v>
      </c>
      <c r="C139">
        <v>2025</v>
      </c>
      <c r="D139" t="s">
        <v>52</v>
      </c>
      <c r="E139" t="s">
        <v>6</v>
      </c>
      <c r="F139">
        <v>1142</v>
      </c>
      <c r="G139" t="s">
        <v>4</v>
      </c>
      <c r="H139" s="15">
        <v>0.26807999999999998</v>
      </c>
      <c r="I139" s="14" t="s">
        <v>58</v>
      </c>
      <c r="J139">
        <f t="shared" ref="J139:J154" si="7">(F139*H139)</f>
        <v>306.14735999999999</v>
      </c>
      <c r="K139" t="b">
        <v>1</v>
      </c>
      <c r="L139">
        <v>1</v>
      </c>
      <c r="M139" t="s">
        <v>5</v>
      </c>
    </row>
    <row r="140" spans="1:16" ht="15.6" x14ac:dyDescent="0.35">
      <c r="A140" t="s">
        <v>60</v>
      </c>
      <c r="B140" t="s">
        <v>61</v>
      </c>
      <c r="C140">
        <v>2025</v>
      </c>
      <c r="D140" t="s">
        <v>52</v>
      </c>
      <c r="E140" t="s">
        <v>7</v>
      </c>
      <c r="F140">
        <v>900</v>
      </c>
      <c r="G140" t="s">
        <v>4</v>
      </c>
      <c r="H140" s="15">
        <v>0.23030999999999999</v>
      </c>
      <c r="I140" s="14" t="s">
        <v>58</v>
      </c>
      <c r="J140">
        <f t="shared" si="7"/>
        <v>207.279</v>
      </c>
      <c r="K140" t="b">
        <v>1</v>
      </c>
      <c r="L140">
        <v>1</v>
      </c>
      <c r="M140" t="s">
        <v>5</v>
      </c>
    </row>
    <row r="141" spans="1:16" ht="15.6" x14ac:dyDescent="0.35">
      <c r="A141" t="s">
        <v>60</v>
      </c>
      <c r="B141" t="s">
        <v>61</v>
      </c>
      <c r="C141">
        <v>2025</v>
      </c>
      <c r="D141" t="s">
        <v>52</v>
      </c>
      <c r="E141" t="s">
        <v>62</v>
      </c>
      <c r="F141">
        <v>867</v>
      </c>
      <c r="G141" t="s">
        <v>4</v>
      </c>
      <c r="H141" s="8">
        <v>1.132E-2</v>
      </c>
      <c r="I141" s="14" t="s">
        <v>58</v>
      </c>
      <c r="J141">
        <f t="shared" si="7"/>
        <v>9.8144399999999994</v>
      </c>
      <c r="K141" t="b">
        <v>1</v>
      </c>
      <c r="L141">
        <v>1</v>
      </c>
      <c r="M141" t="s">
        <v>5</v>
      </c>
    </row>
    <row r="142" spans="1:16" ht="15.6" x14ac:dyDescent="0.35">
      <c r="A142" t="s">
        <v>60</v>
      </c>
      <c r="B142" t="s">
        <v>61</v>
      </c>
      <c r="C142">
        <v>2025</v>
      </c>
      <c r="D142" t="s">
        <v>52</v>
      </c>
      <c r="E142" t="s">
        <v>8</v>
      </c>
      <c r="F142">
        <v>7288</v>
      </c>
      <c r="G142" t="s">
        <v>4</v>
      </c>
      <c r="H142" s="19">
        <v>0</v>
      </c>
      <c r="I142" s="14" t="s">
        <v>58</v>
      </c>
      <c r="J142">
        <f t="shared" si="7"/>
        <v>0</v>
      </c>
      <c r="K142" t="b">
        <v>1</v>
      </c>
      <c r="L142">
        <v>1</v>
      </c>
      <c r="M142" t="s">
        <v>9</v>
      </c>
    </row>
    <row r="143" spans="1:16" ht="15.6" x14ac:dyDescent="0.35">
      <c r="A143" t="s">
        <v>60</v>
      </c>
      <c r="B143" t="s">
        <v>61</v>
      </c>
      <c r="C143">
        <v>2025</v>
      </c>
      <c r="D143" t="s">
        <v>52</v>
      </c>
      <c r="E143" t="s">
        <v>10</v>
      </c>
      <c r="F143">
        <v>6742</v>
      </c>
      <c r="G143" t="s">
        <v>4</v>
      </c>
      <c r="H143" s="15">
        <v>0.20705000000000001</v>
      </c>
      <c r="I143" s="14" t="s">
        <v>58</v>
      </c>
      <c r="J143">
        <f t="shared" si="7"/>
        <v>1395.9311</v>
      </c>
      <c r="K143" t="b">
        <v>1</v>
      </c>
      <c r="L143">
        <v>1</v>
      </c>
      <c r="M143" t="s">
        <v>5</v>
      </c>
    </row>
    <row r="144" spans="1:16" ht="15.6" x14ac:dyDescent="0.35">
      <c r="A144" t="s">
        <v>60</v>
      </c>
      <c r="B144" t="s">
        <v>61</v>
      </c>
      <c r="C144">
        <v>2025</v>
      </c>
      <c r="D144" t="s">
        <v>52</v>
      </c>
      <c r="E144" t="s">
        <v>63</v>
      </c>
      <c r="F144">
        <v>1133</v>
      </c>
      <c r="G144" t="s">
        <v>4</v>
      </c>
      <c r="H144" s="20">
        <v>0</v>
      </c>
      <c r="I144" s="14" t="s">
        <v>58</v>
      </c>
      <c r="J144">
        <f t="shared" si="7"/>
        <v>0</v>
      </c>
      <c r="K144" t="b">
        <v>1</v>
      </c>
      <c r="L144">
        <v>1</v>
      </c>
      <c r="M144" t="s">
        <v>64</v>
      </c>
    </row>
    <row r="145" spans="1:16" ht="15.6" x14ac:dyDescent="0.35">
      <c r="A145" t="s">
        <v>60</v>
      </c>
      <c r="B145" t="s">
        <v>61</v>
      </c>
      <c r="C145">
        <v>2025</v>
      </c>
      <c r="D145" t="s">
        <v>52</v>
      </c>
      <c r="E145" t="s">
        <v>65</v>
      </c>
      <c r="F145">
        <v>114</v>
      </c>
      <c r="G145" t="s">
        <v>4</v>
      </c>
      <c r="H145" s="21">
        <v>0.20705000000000001</v>
      </c>
      <c r="I145" s="14" t="s">
        <v>58</v>
      </c>
      <c r="J145">
        <f t="shared" si="7"/>
        <v>23.6037</v>
      </c>
      <c r="K145" t="b">
        <v>1</v>
      </c>
      <c r="L145">
        <v>1</v>
      </c>
      <c r="M145" t="s">
        <v>64</v>
      </c>
    </row>
    <row r="146" spans="1:16" ht="15.6" x14ac:dyDescent="0.35">
      <c r="A146" t="s">
        <v>60</v>
      </c>
      <c r="B146" t="s">
        <v>61</v>
      </c>
      <c r="C146">
        <v>2025</v>
      </c>
      <c r="D146" t="s">
        <v>52</v>
      </c>
      <c r="E146" t="s">
        <v>11</v>
      </c>
      <c r="F146">
        <v>118</v>
      </c>
      <c r="G146" t="s">
        <v>4</v>
      </c>
      <c r="H146" s="8">
        <v>0.20263999999999999</v>
      </c>
      <c r="I146" s="14" t="s">
        <v>58</v>
      </c>
      <c r="J146">
        <f t="shared" si="7"/>
        <v>23.911519999999999</v>
      </c>
      <c r="K146" t="b">
        <v>1</v>
      </c>
      <c r="L146">
        <v>1</v>
      </c>
      <c r="M146" t="s">
        <v>5</v>
      </c>
    </row>
    <row r="147" spans="1:16" ht="15.6" x14ac:dyDescent="0.35">
      <c r="A147" t="s">
        <v>60</v>
      </c>
      <c r="B147" t="s">
        <v>61</v>
      </c>
      <c r="C147">
        <v>2025</v>
      </c>
      <c r="D147" t="s">
        <v>52</v>
      </c>
      <c r="E147" t="s">
        <v>12</v>
      </c>
      <c r="F147">
        <v>665</v>
      </c>
      <c r="G147" t="s">
        <v>4</v>
      </c>
      <c r="H147" s="12">
        <v>0.17965</v>
      </c>
      <c r="I147" s="14" t="s">
        <v>58</v>
      </c>
      <c r="J147">
        <f t="shared" si="7"/>
        <v>119.46725000000001</v>
      </c>
      <c r="K147" t="b">
        <v>1</v>
      </c>
      <c r="L147">
        <v>1</v>
      </c>
      <c r="M147" t="s">
        <v>5</v>
      </c>
    </row>
    <row r="148" spans="1:16" ht="15.6" x14ac:dyDescent="0.35">
      <c r="A148" t="s">
        <v>60</v>
      </c>
      <c r="B148" t="s">
        <v>61</v>
      </c>
      <c r="C148">
        <v>2025</v>
      </c>
      <c r="D148" t="s">
        <v>52</v>
      </c>
      <c r="E148" s="1" t="s">
        <v>66</v>
      </c>
      <c r="F148">
        <v>586</v>
      </c>
      <c r="G148" t="s">
        <v>14</v>
      </c>
      <c r="H148" s="17">
        <v>0.15311</v>
      </c>
      <c r="I148" s="14" t="s">
        <v>58</v>
      </c>
      <c r="J148">
        <f t="shared" si="7"/>
        <v>89.722459999999998</v>
      </c>
      <c r="K148" t="b">
        <v>1</v>
      </c>
      <c r="L148">
        <v>1</v>
      </c>
      <c r="M148" t="s">
        <v>15</v>
      </c>
    </row>
    <row r="149" spans="1:16" ht="15.6" x14ac:dyDescent="0.35">
      <c r="A149" t="s">
        <v>60</v>
      </c>
      <c r="B149" t="s">
        <v>61</v>
      </c>
      <c r="C149">
        <v>2025</v>
      </c>
      <c r="D149" t="s">
        <v>52</v>
      </c>
      <c r="E149" s="18" t="s">
        <v>13</v>
      </c>
      <c r="F149">
        <v>480</v>
      </c>
      <c r="G149" t="s">
        <v>14</v>
      </c>
      <c r="H149" s="22">
        <v>0.34399999999999997</v>
      </c>
      <c r="I149" s="14" t="s">
        <v>58</v>
      </c>
      <c r="J149">
        <f t="shared" si="7"/>
        <v>165.11999999999998</v>
      </c>
      <c r="K149" t="b">
        <v>1</v>
      </c>
      <c r="L149">
        <v>1</v>
      </c>
      <c r="M149" t="s">
        <v>15</v>
      </c>
    </row>
    <row r="150" spans="1:16" ht="15.6" x14ac:dyDescent="0.35">
      <c r="A150" t="s">
        <v>60</v>
      </c>
      <c r="B150" t="s">
        <v>61</v>
      </c>
      <c r="C150">
        <v>2025</v>
      </c>
      <c r="D150" t="s">
        <v>52</v>
      </c>
      <c r="E150" s="18" t="s">
        <v>18</v>
      </c>
      <c r="F150">
        <v>734</v>
      </c>
      <c r="G150" t="s">
        <v>14</v>
      </c>
      <c r="H150" s="17">
        <v>0.15311</v>
      </c>
      <c r="I150" s="14" t="s">
        <v>58</v>
      </c>
      <c r="J150">
        <f t="shared" si="7"/>
        <v>112.38274</v>
      </c>
      <c r="K150" t="b">
        <v>1</v>
      </c>
      <c r="L150">
        <v>1</v>
      </c>
      <c r="M150" t="s">
        <v>5</v>
      </c>
    </row>
    <row r="151" spans="1:16" ht="15.6" x14ac:dyDescent="0.35">
      <c r="A151" t="s">
        <v>60</v>
      </c>
      <c r="B151" t="s">
        <v>61</v>
      </c>
      <c r="C151">
        <v>2025</v>
      </c>
      <c r="D151" t="s">
        <v>52</v>
      </c>
      <c r="E151" s="18" t="s">
        <v>19</v>
      </c>
      <c r="F151">
        <v>97</v>
      </c>
      <c r="G151" t="s">
        <v>14</v>
      </c>
      <c r="H151" s="20">
        <v>0</v>
      </c>
      <c r="I151" s="16" t="s">
        <v>58</v>
      </c>
      <c r="J151">
        <f t="shared" si="7"/>
        <v>0</v>
      </c>
      <c r="K151" t="b">
        <v>0</v>
      </c>
      <c r="L151">
        <v>0</v>
      </c>
      <c r="M151" t="s">
        <v>20</v>
      </c>
    </row>
    <row r="152" spans="1:16" ht="15.6" x14ac:dyDescent="0.35">
      <c r="A152" t="s">
        <v>60</v>
      </c>
      <c r="B152" t="s">
        <v>61</v>
      </c>
      <c r="C152">
        <v>2025</v>
      </c>
      <c r="D152" t="s">
        <v>52</v>
      </c>
      <c r="E152" s="1" t="s">
        <v>67</v>
      </c>
      <c r="F152">
        <v>481</v>
      </c>
      <c r="G152" t="s">
        <v>14</v>
      </c>
      <c r="H152" s="9">
        <v>0.18573999999999999</v>
      </c>
      <c r="I152" s="14" t="s">
        <v>58</v>
      </c>
      <c r="J152">
        <f t="shared" si="7"/>
        <v>89.340939999999989</v>
      </c>
      <c r="K152" t="b">
        <v>1</v>
      </c>
      <c r="L152">
        <v>1</v>
      </c>
      <c r="M152" t="s">
        <v>68</v>
      </c>
    </row>
    <row r="153" spans="1:16" ht="15.6" x14ac:dyDescent="0.35">
      <c r="A153" t="s">
        <v>60</v>
      </c>
      <c r="B153" t="s">
        <v>61</v>
      </c>
      <c r="C153">
        <v>2025</v>
      </c>
      <c r="D153" t="s">
        <v>52</v>
      </c>
      <c r="E153" s="18" t="s">
        <v>21</v>
      </c>
      <c r="F153">
        <v>299</v>
      </c>
      <c r="G153" t="s">
        <v>14</v>
      </c>
      <c r="H153" s="9">
        <v>0.18573999999999999</v>
      </c>
      <c r="I153" s="16" t="s">
        <v>58</v>
      </c>
      <c r="J153">
        <f t="shared" si="7"/>
        <v>55.536259999999999</v>
      </c>
      <c r="K153" t="b">
        <v>1</v>
      </c>
      <c r="L153">
        <v>1</v>
      </c>
      <c r="M153" t="s">
        <v>15</v>
      </c>
    </row>
    <row r="154" spans="1:16" ht="15.6" x14ac:dyDescent="0.35">
      <c r="A154" t="s">
        <v>60</v>
      </c>
      <c r="B154" t="s">
        <v>61</v>
      </c>
      <c r="C154">
        <v>2025</v>
      </c>
      <c r="D154" t="s">
        <v>52</v>
      </c>
      <c r="E154" s="18" t="s">
        <v>23</v>
      </c>
      <c r="F154">
        <v>613</v>
      </c>
      <c r="G154" t="s">
        <v>14</v>
      </c>
      <c r="H154" s="9">
        <v>0.18573999999999999</v>
      </c>
      <c r="I154" s="16" t="s">
        <v>58</v>
      </c>
      <c r="J154">
        <f t="shared" si="7"/>
        <v>113.85861999999999</v>
      </c>
      <c r="K154" t="b">
        <v>1</v>
      </c>
      <c r="L154">
        <v>1</v>
      </c>
      <c r="M154" t="s">
        <v>5</v>
      </c>
    </row>
    <row r="156" spans="1:16" ht="15.6" x14ac:dyDescent="0.35">
      <c r="A156" t="s">
        <v>60</v>
      </c>
      <c r="B156" t="s">
        <v>61</v>
      </c>
      <c r="C156">
        <v>2025</v>
      </c>
      <c r="D156" t="s">
        <v>53</v>
      </c>
      <c r="E156" t="s">
        <v>3</v>
      </c>
      <c r="F156">
        <v>3446</v>
      </c>
      <c r="G156" t="s">
        <v>4</v>
      </c>
      <c r="H156" s="15">
        <v>0.20263999999999999</v>
      </c>
      <c r="I156" s="14" t="s">
        <v>58</v>
      </c>
      <c r="J156">
        <f>(F156*H156)</f>
        <v>698.29743999999994</v>
      </c>
      <c r="K156" t="b">
        <v>1</v>
      </c>
      <c r="L156">
        <v>1</v>
      </c>
      <c r="M156" t="s">
        <v>5</v>
      </c>
      <c r="O156">
        <f>(J156+J157+J158+J159+J163+J166+J167+J170+J171+J172)</f>
        <v>1749.5216499999999</v>
      </c>
      <c r="P156">
        <f>(J161+J164+J165+J168)</f>
        <v>723.78190999999993</v>
      </c>
    </row>
    <row r="157" spans="1:16" ht="15.6" x14ac:dyDescent="0.35">
      <c r="A157" t="s">
        <v>60</v>
      </c>
      <c r="B157" t="s">
        <v>61</v>
      </c>
      <c r="C157">
        <v>2025</v>
      </c>
      <c r="D157" t="s">
        <v>53</v>
      </c>
      <c r="E157" t="s">
        <v>6</v>
      </c>
      <c r="F157">
        <v>1112</v>
      </c>
      <c r="G157" t="s">
        <v>4</v>
      </c>
      <c r="H157" s="15">
        <v>0.26807999999999998</v>
      </c>
      <c r="I157" s="14" t="s">
        <v>58</v>
      </c>
      <c r="J157">
        <f t="shared" ref="J157:J172" si="8">(F157*H157)</f>
        <v>298.10496000000001</v>
      </c>
      <c r="K157" t="b">
        <v>1</v>
      </c>
      <c r="L157">
        <v>1</v>
      </c>
      <c r="M157" t="s">
        <v>5</v>
      </c>
    </row>
    <row r="158" spans="1:16" ht="15.6" x14ac:dyDescent="0.35">
      <c r="A158" t="s">
        <v>60</v>
      </c>
      <c r="B158" t="s">
        <v>61</v>
      </c>
      <c r="C158">
        <v>2025</v>
      </c>
      <c r="D158" t="s">
        <v>53</v>
      </c>
      <c r="E158" t="s">
        <v>7</v>
      </c>
      <c r="F158">
        <v>961</v>
      </c>
      <c r="G158" t="s">
        <v>4</v>
      </c>
      <c r="H158" s="15">
        <v>0.23030999999999999</v>
      </c>
      <c r="I158" s="14" t="s">
        <v>58</v>
      </c>
      <c r="J158">
        <f t="shared" si="8"/>
        <v>221.32790999999997</v>
      </c>
      <c r="K158" t="b">
        <v>1</v>
      </c>
      <c r="L158">
        <v>1</v>
      </c>
      <c r="M158" t="s">
        <v>5</v>
      </c>
    </row>
    <row r="159" spans="1:16" ht="15.6" x14ac:dyDescent="0.35">
      <c r="A159" t="s">
        <v>60</v>
      </c>
      <c r="B159" t="s">
        <v>61</v>
      </c>
      <c r="C159">
        <v>2025</v>
      </c>
      <c r="D159" t="s">
        <v>53</v>
      </c>
      <c r="E159" t="s">
        <v>62</v>
      </c>
      <c r="F159">
        <v>861</v>
      </c>
      <c r="G159" t="s">
        <v>4</v>
      </c>
      <c r="H159" s="8">
        <v>1.132E-2</v>
      </c>
      <c r="I159" s="14" t="s">
        <v>58</v>
      </c>
      <c r="J159">
        <f t="shared" si="8"/>
        <v>9.7465200000000003</v>
      </c>
      <c r="K159" t="b">
        <v>1</v>
      </c>
      <c r="L159">
        <v>1</v>
      </c>
      <c r="M159" t="s">
        <v>5</v>
      </c>
    </row>
    <row r="160" spans="1:16" ht="15.6" x14ac:dyDescent="0.35">
      <c r="A160" t="s">
        <v>60</v>
      </c>
      <c r="B160" t="s">
        <v>61</v>
      </c>
      <c r="C160">
        <v>2025</v>
      </c>
      <c r="D160" t="s">
        <v>53</v>
      </c>
      <c r="E160" t="s">
        <v>8</v>
      </c>
      <c r="F160">
        <v>7055</v>
      </c>
      <c r="G160" t="s">
        <v>4</v>
      </c>
      <c r="H160" s="19">
        <v>0</v>
      </c>
      <c r="I160" s="14" t="s">
        <v>58</v>
      </c>
      <c r="J160">
        <f t="shared" si="8"/>
        <v>0</v>
      </c>
      <c r="K160" t="b">
        <v>1</v>
      </c>
      <c r="L160">
        <v>1</v>
      </c>
      <c r="M160" t="s">
        <v>9</v>
      </c>
    </row>
    <row r="161" spans="1:16" ht="15.6" x14ac:dyDescent="0.35">
      <c r="A161" t="s">
        <v>60</v>
      </c>
      <c r="B161" t="s">
        <v>61</v>
      </c>
      <c r="C161">
        <v>2025</v>
      </c>
      <c r="D161" t="s">
        <v>53</v>
      </c>
      <c r="E161" t="s">
        <v>10</v>
      </c>
      <c r="F161">
        <v>2184</v>
      </c>
      <c r="G161" t="s">
        <v>4</v>
      </c>
      <c r="H161" s="15">
        <v>0.20705000000000001</v>
      </c>
      <c r="I161" s="14" t="s">
        <v>58</v>
      </c>
      <c r="J161">
        <f t="shared" si="8"/>
        <v>452.19720000000001</v>
      </c>
      <c r="K161" t="b">
        <v>1</v>
      </c>
      <c r="L161">
        <v>1</v>
      </c>
      <c r="M161" t="s">
        <v>5</v>
      </c>
    </row>
    <row r="162" spans="1:16" ht="15.6" x14ac:dyDescent="0.35">
      <c r="A162" t="s">
        <v>60</v>
      </c>
      <c r="B162" t="s">
        <v>61</v>
      </c>
      <c r="C162">
        <v>2025</v>
      </c>
      <c r="D162" t="s">
        <v>53</v>
      </c>
      <c r="E162" t="s">
        <v>63</v>
      </c>
      <c r="F162">
        <v>1116</v>
      </c>
      <c r="G162" t="s">
        <v>4</v>
      </c>
      <c r="H162" s="20">
        <v>0</v>
      </c>
      <c r="I162" s="14" t="s">
        <v>58</v>
      </c>
      <c r="J162">
        <f t="shared" si="8"/>
        <v>0</v>
      </c>
      <c r="K162" t="b">
        <v>1</v>
      </c>
      <c r="L162">
        <v>1</v>
      </c>
      <c r="M162" t="s">
        <v>64</v>
      </c>
    </row>
    <row r="163" spans="1:16" ht="15.6" x14ac:dyDescent="0.35">
      <c r="A163" t="s">
        <v>60</v>
      </c>
      <c r="B163" t="s">
        <v>61</v>
      </c>
      <c r="C163">
        <v>2025</v>
      </c>
      <c r="D163" t="s">
        <v>53</v>
      </c>
      <c r="E163" t="s">
        <v>65</v>
      </c>
      <c r="F163">
        <v>86</v>
      </c>
      <c r="G163" t="s">
        <v>4</v>
      </c>
      <c r="H163" s="21">
        <v>0.20705000000000001</v>
      </c>
      <c r="I163" s="14" t="s">
        <v>58</v>
      </c>
      <c r="J163">
        <f t="shared" si="8"/>
        <v>17.8063</v>
      </c>
      <c r="K163" t="b">
        <v>1</v>
      </c>
      <c r="L163">
        <v>1</v>
      </c>
      <c r="M163" t="s">
        <v>64</v>
      </c>
    </row>
    <row r="164" spans="1:16" ht="15.6" x14ac:dyDescent="0.35">
      <c r="A164" t="s">
        <v>60</v>
      </c>
      <c r="B164" t="s">
        <v>61</v>
      </c>
      <c r="C164">
        <v>2025</v>
      </c>
      <c r="D164" t="s">
        <v>53</v>
      </c>
      <c r="E164" t="s">
        <v>11</v>
      </c>
      <c r="F164">
        <v>171</v>
      </c>
      <c r="G164" t="s">
        <v>4</v>
      </c>
      <c r="H164" s="8">
        <v>0.20263999999999999</v>
      </c>
      <c r="I164" s="14" t="s">
        <v>58</v>
      </c>
      <c r="J164">
        <f t="shared" si="8"/>
        <v>34.651440000000001</v>
      </c>
      <c r="K164" t="b">
        <v>1</v>
      </c>
      <c r="L164">
        <v>1</v>
      </c>
      <c r="M164" t="s">
        <v>5</v>
      </c>
    </row>
    <row r="165" spans="1:16" ht="15.6" x14ac:dyDescent="0.35">
      <c r="A165" t="s">
        <v>60</v>
      </c>
      <c r="B165" t="s">
        <v>61</v>
      </c>
      <c r="C165">
        <v>2025</v>
      </c>
      <c r="D165" t="s">
        <v>53</v>
      </c>
      <c r="E165" t="s">
        <v>12</v>
      </c>
      <c r="F165">
        <v>695</v>
      </c>
      <c r="G165" t="s">
        <v>4</v>
      </c>
      <c r="H165" s="12">
        <v>0.17965</v>
      </c>
      <c r="I165" s="14" t="s">
        <v>58</v>
      </c>
      <c r="J165">
        <f t="shared" si="8"/>
        <v>124.85675000000001</v>
      </c>
      <c r="K165" t="b">
        <v>1</v>
      </c>
      <c r="L165">
        <v>1</v>
      </c>
      <c r="M165" t="s">
        <v>5</v>
      </c>
    </row>
    <row r="166" spans="1:16" ht="15.6" x14ac:dyDescent="0.35">
      <c r="A166" t="s">
        <v>60</v>
      </c>
      <c r="B166" t="s">
        <v>61</v>
      </c>
      <c r="C166">
        <v>2025</v>
      </c>
      <c r="D166" t="s">
        <v>53</v>
      </c>
      <c r="E166" s="1" t="s">
        <v>66</v>
      </c>
      <c r="F166">
        <v>592</v>
      </c>
      <c r="G166" t="s">
        <v>14</v>
      </c>
      <c r="H166" s="17">
        <v>0.15311</v>
      </c>
      <c r="I166" s="14" t="s">
        <v>58</v>
      </c>
      <c r="J166">
        <f t="shared" si="8"/>
        <v>90.641120000000001</v>
      </c>
      <c r="K166" t="b">
        <v>1</v>
      </c>
      <c r="L166">
        <v>1</v>
      </c>
      <c r="M166" t="s">
        <v>15</v>
      </c>
    </row>
    <row r="167" spans="1:16" ht="15.6" x14ac:dyDescent="0.35">
      <c r="A167" t="s">
        <v>60</v>
      </c>
      <c r="B167" t="s">
        <v>61</v>
      </c>
      <c r="C167">
        <v>2025</v>
      </c>
      <c r="D167" t="s">
        <v>53</v>
      </c>
      <c r="E167" s="18" t="s">
        <v>13</v>
      </c>
      <c r="F167">
        <v>441</v>
      </c>
      <c r="G167" t="s">
        <v>14</v>
      </c>
      <c r="H167" s="22">
        <v>0.34399999999999997</v>
      </c>
      <c r="I167" s="14" t="s">
        <v>58</v>
      </c>
      <c r="J167">
        <f t="shared" si="8"/>
        <v>151.70399999999998</v>
      </c>
      <c r="K167" t="b">
        <v>1</v>
      </c>
      <c r="L167">
        <v>1</v>
      </c>
      <c r="M167" t="s">
        <v>15</v>
      </c>
    </row>
    <row r="168" spans="1:16" ht="15.6" x14ac:dyDescent="0.35">
      <c r="A168" t="s">
        <v>60</v>
      </c>
      <c r="B168" t="s">
        <v>61</v>
      </c>
      <c r="C168">
        <v>2025</v>
      </c>
      <c r="D168" t="s">
        <v>53</v>
      </c>
      <c r="E168" s="18" t="s">
        <v>18</v>
      </c>
      <c r="F168">
        <v>732</v>
      </c>
      <c r="G168" t="s">
        <v>14</v>
      </c>
      <c r="H168" s="17">
        <v>0.15311</v>
      </c>
      <c r="I168" s="14" t="s">
        <v>58</v>
      </c>
      <c r="J168">
        <f t="shared" si="8"/>
        <v>112.07652</v>
      </c>
      <c r="K168" t="b">
        <v>1</v>
      </c>
      <c r="L168">
        <v>1</v>
      </c>
      <c r="M168" t="s">
        <v>5</v>
      </c>
    </row>
    <row r="169" spans="1:16" ht="15.6" x14ac:dyDescent="0.35">
      <c r="A169" t="s">
        <v>60</v>
      </c>
      <c r="B169" t="s">
        <v>61</v>
      </c>
      <c r="C169">
        <v>2025</v>
      </c>
      <c r="D169" t="s">
        <v>53</v>
      </c>
      <c r="E169" s="18" t="s">
        <v>19</v>
      </c>
      <c r="F169">
        <v>162</v>
      </c>
      <c r="G169" t="s">
        <v>14</v>
      </c>
      <c r="H169" s="20">
        <v>0</v>
      </c>
      <c r="I169" s="16" t="s">
        <v>58</v>
      </c>
      <c r="J169">
        <f t="shared" si="8"/>
        <v>0</v>
      </c>
      <c r="K169" t="b">
        <v>0</v>
      </c>
      <c r="L169">
        <v>0</v>
      </c>
      <c r="M169" t="s">
        <v>20</v>
      </c>
    </row>
    <row r="170" spans="1:16" ht="15.6" x14ac:dyDescent="0.35">
      <c r="A170" t="s">
        <v>60</v>
      </c>
      <c r="B170" t="s">
        <v>61</v>
      </c>
      <c r="C170">
        <v>2025</v>
      </c>
      <c r="D170" t="s">
        <v>53</v>
      </c>
      <c r="E170" s="1" t="s">
        <v>67</v>
      </c>
      <c r="F170">
        <v>494</v>
      </c>
      <c r="G170" t="s">
        <v>14</v>
      </c>
      <c r="H170" s="9">
        <v>0.18573999999999999</v>
      </c>
      <c r="I170" s="14" t="s">
        <v>58</v>
      </c>
      <c r="J170">
        <f t="shared" si="8"/>
        <v>91.755559999999988</v>
      </c>
      <c r="K170" t="b">
        <v>1</v>
      </c>
      <c r="L170">
        <v>1</v>
      </c>
      <c r="M170" t="s">
        <v>68</v>
      </c>
    </row>
    <row r="171" spans="1:16" ht="15.6" x14ac:dyDescent="0.35">
      <c r="A171" t="s">
        <v>60</v>
      </c>
      <c r="B171" t="s">
        <v>61</v>
      </c>
      <c r="C171">
        <v>2025</v>
      </c>
      <c r="D171" t="s">
        <v>53</v>
      </c>
      <c r="E171" s="18" t="s">
        <v>21</v>
      </c>
      <c r="F171">
        <v>319</v>
      </c>
      <c r="G171" t="s">
        <v>14</v>
      </c>
      <c r="H171" s="9">
        <v>0.18573999999999999</v>
      </c>
      <c r="I171" s="16" t="s">
        <v>58</v>
      </c>
      <c r="J171">
        <f t="shared" si="8"/>
        <v>59.251059999999995</v>
      </c>
      <c r="K171" t="b">
        <v>1</v>
      </c>
      <c r="L171">
        <v>1</v>
      </c>
      <c r="M171" t="s">
        <v>15</v>
      </c>
    </row>
    <row r="172" spans="1:16" ht="15.6" x14ac:dyDescent="0.35">
      <c r="A172" t="s">
        <v>60</v>
      </c>
      <c r="B172" t="s">
        <v>61</v>
      </c>
      <c r="C172">
        <v>2025</v>
      </c>
      <c r="D172" t="s">
        <v>53</v>
      </c>
      <c r="E172" s="18" t="s">
        <v>23</v>
      </c>
      <c r="F172">
        <v>597</v>
      </c>
      <c r="G172" t="s">
        <v>14</v>
      </c>
      <c r="H172" s="9">
        <v>0.18573999999999999</v>
      </c>
      <c r="I172" s="16" t="s">
        <v>58</v>
      </c>
      <c r="J172">
        <f t="shared" si="8"/>
        <v>110.88677999999999</v>
      </c>
      <c r="K172" t="b">
        <v>1</v>
      </c>
      <c r="L172">
        <v>1</v>
      </c>
      <c r="M172" t="s">
        <v>5</v>
      </c>
    </row>
    <row r="174" spans="1:16" ht="15.6" x14ac:dyDescent="0.35">
      <c r="A174" t="s">
        <v>60</v>
      </c>
      <c r="B174" t="s">
        <v>61</v>
      </c>
      <c r="C174">
        <v>2025</v>
      </c>
      <c r="D174" t="s">
        <v>54</v>
      </c>
      <c r="E174" t="s">
        <v>3</v>
      </c>
      <c r="F174">
        <v>3765</v>
      </c>
      <c r="G174" t="s">
        <v>4</v>
      </c>
      <c r="H174" s="15">
        <v>0.20263999999999999</v>
      </c>
      <c r="I174" s="14" t="s">
        <v>58</v>
      </c>
      <c r="J174">
        <f>(F174*H174)</f>
        <v>762.93959999999993</v>
      </c>
      <c r="K174" t="b">
        <v>1</v>
      </c>
      <c r="L174">
        <v>1</v>
      </c>
      <c r="M174" t="s">
        <v>5</v>
      </c>
      <c r="O174">
        <f>(J174+J175+J176+J177+J181+J184+J185+J188+J189+J190)</f>
        <v>1786.85347</v>
      </c>
      <c r="P174">
        <f>(J179+J182+J183+J186)</f>
        <v>1424.3065299999998</v>
      </c>
    </row>
    <row r="175" spans="1:16" ht="15.6" x14ac:dyDescent="0.35">
      <c r="A175" t="s">
        <v>60</v>
      </c>
      <c r="B175" t="s">
        <v>61</v>
      </c>
      <c r="C175">
        <v>2025</v>
      </c>
      <c r="D175" t="s">
        <v>54</v>
      </c>
      <c r="E175" t="s">
        <v>6</v>
      </c>
      <c r="F175">
        <v>1150</v>
      </c>
      <c r="G175" t="s">
        <v>4</v>
      </c>
      <c r="H175" s="15">
        <v>0.26807999999999998</v>
      </c>
      <c r="I175" s="14" t="s">
        <v>58</v>
      </c>
      <c r="J175">
        <f t="shared" ref="J175:J190" si="9">(F175*H175)</f>
        <v>308.29199999999997</v>
      </c>
      <c r="K175" t="b">
        <v>1</v>
      </c>
      <c r="L175">
        <v>1</v>
      </c>
      <c r="M175" t="s">
        <v>5</v>
      </c>
    </row>
    <row r="176" spans="1:16" ht="15.6" x14ac:dyDescent="0.35">
      <c r="A176" t="s">
        <v>60</v>
      </c>
      <c r="B176" t="s">
        <v>61</v>
      </c>
      <c r="C176">
        <v>2025</v>
      </c>
      <c r="D176" t="s">
        <v>54</v>
      </c>
      <c r="E176" t="s">
        <v>7</v>
      </c>
      <c r="F176">
        <v>775</v>
      </c>
      <c r="G176" t="s">
        <v>4</v>
      </c>
      <c r="H176" s="15">
        <v>0.23030999999999999</v>
      </c>
      <c r="I176" s="14" t="s">
        <v>58</v>
      </c>
      <c r="J176">
        <f t="shared" si="9"/>
        <v>178.49025</v>
      </c>
      <c r="K176" t="b">
        <v>1</v>
      </c>
      <c r="L176">
        <v>1</v>
      </c>
      <c r="M176" t="s">
        <v>5</v>
      </c>
    </row>
    <row r="177" spans="1:16" ht="15.6" x14ac:dyDescent="0.35">
      <c r="A177" t="s">
        <v>60</v>
      </c>
      <c r="B177" t="s">
        <v>61</v>
      </c>
      <c r="C177">
        <v>2025</v>
      </c>
      <c r="D177" t="s">
        <v>54</v>
      </c>
      <c r="E177" t="s">
        <v>62</v>
      </c>
      <c r="F177">
        <v>613</v>
      </c>
      <c r="G177" t="s">
        <v>4</v>
      </c>
      <c r="H177" s="8">
        <v>1.132E-2</v>
      </c>
      <c r="I177" s="14" t="s">
        <v>58</v>
      </c>
      <c r="J177">
        <f t="shared" si="9"/>
        <v>6.9391600000000002</v>
      </c>
      <c r="K177" t="b">
        <v>1</v>
      </c>
      <c r="L177">
        <v>1</v>
      </c>
      <c r="M177" t="s">
        <v>5</v>
      </c>
    </row>
    <row r="178" spans="1:16" ht="15.6" x14ac:dyDescent="0.35">
      <c r="A178" t="s">
        <v>60</v>
      </c>
      <c r="B178" t="s">
        <v>61</v>
      </c>
      <c r="C178">
        <v>2025</v>
      </c>
      <c r="D178" t="s">
        <v>54</v>
      </c>
      <c r="E178" t="s">
        <v>8</v>
      </c>
      <c r="F178">
        <v>5846</v>
      </c>
      <c r="G178" t="s">
        <v>4</v>
      </c>
      <c r="H178" s="19">
        <v>0</v>
      </c>
      <c r="I178" s="14" t="s">
        <v>58</v>
      </c>
      <c r="J178">
        <f t="shared" si="9"/>
        <v>0</v>
      </c>
      <c r="K178" t="b">
        <v>1</v>
      </c>
      <c r="L178">
        <v>1</v>
      </c>
      <c r="M178" t="s">
        <v>9</v>
      </c>
    </row>
    <row r="179" spans="1:16" ht="15.6" x14ac:dyDescent="0.35">
      <c r="A179" t="s">
        <v>60</v>
      </c>
      <c r="B179" t="s">
        <v>61</v>
      </c>
      <c r="C179">
        <v>2025</v>
      </c>
      <c r="D179" t="s">
        <v>54</v>
      </c>
      <c r="E179" t="s">
        <v>10</v>
      </c>
      <c r="F179">
        <v>5555</v>
      </c>
      <c r="G179" t="s">
        <v>4</v>
      </c>
      <c r="H179" s="15">
        <v>0.20705000000000001</v>
      </c>
      <c r="I179" s="14" t="s">
        <v>58</v>
      </c>
      <c r="J179">
        <f t="shared" si="9"/>
        <v>1150.16275</v>
      </c>
      <c r="K179" t="b">
        <v>1</v>
      </c>
      <c r="L179">
        <v>1</v>
      </c>
      <c r="M179" t="s">
        <v>5</v>
      </c>
    </row>
    <row r="180" spans="1:16" ht="15.6" x14ac:dyDescent="0.35">
      <c r="A180" t="s">
        <v>60</v>
      </c>
      <c r="B180" t="s">
        <v>61</v>
      </c>
      <c r="C180">
        <v>2025</v>
      </c>
      <c r="D180" t="s">
        <v>54</v>
      </c>
      <c r="E180" t="s">
        <v>63</v>
      </c>
      <c r="F180">
        <v>667</v>
      </c>
      <c r="G180" t="s">
        <v>4</v>
      </c>
      <c r="H180" s="20">
        <v>0</v>
      </c>
      <c r="I180" s="14" t="s">
        <v>58</v>
      </c>
      <c r="J180">
        <f t="shared" si="9"/>
        <v>0</v>
      </c>
      <c r="K180" t="b">
        <v>1</v>
      </c>
      <c r="L180">
        <v>1</v>
      </c>
      <c r="M180" t="s">
        <v>64</v>
      </c>
    </row>
    <row r="181" spans="1:16" ht="15.6" x14ac:dyDescent="0.35">
      <c r="A181" t="s">
        <v>60</v>
      </c>
      <c r="B181" t="s">
        <v>61</v>
      </c>
      <c r="C181">
        <v>2025</v>
      </c>
      <c r="D181" t="s">
        <v>54</v>
      </c>
      <c r="E181" t="s">
        <v>65</v>
      </c>
      <c r="F181">
        <v>143</v>
      </c>
      <c r="G181" t="s">
        <v>4</v>
      </c>
      <c r="H181" s="21">
        <v>0.20705000000000001</v>
      </c>
      <c r="I181" s="14" t="s">
        <v>58</v>
      </c>
      <c r="J181">
        <f t="shared" si="9"/>
        <v>29.608150000000002</v>
      </c>
      <c r="K181" t="b">
        <v>1</v>
      </c>
      <c r="L181">
        <v>1</v>
      </c>
      <c r="M181" t="s">
        <v>64</v>
      </c>
    </row>
    <row r="182" spans="1:16" ht="15.6" x14ac:dyDescent="0.35">
      <c r="A182" t="s">
        <v>60</v>
      </c>
      <c r="B182" t="s">
        <v>61</v>
      </c>
      <c r="C182">
        <v>2025</v>
      </c>
      <c r="D182" t="s">
        <v>54</v>
      </c>
      <c r="E182" t="s">
        <v>11</v>
      </c>
      <c r="F182">
        <v>177</v>
      </c>
      <c r="G182" t="s">
        <v>4</v>
      </c>
      <c r="H182" s="8">
        <v>0.20263999999999999</v>
      </c>
      <c r="I182" s="14" t="s">
        <v>58</v>
      </c>
      <c r="J182">
        <f t="shared" si="9"/>
        <v>35.867280000000001</v>
      </c>
      <c r="K182" t="b">
        <v>1</v>
      </c>
      <c r="L182">
        <v>1</v>
      </c>
      <c r="M182" t="s">
        <v>5</v>
      </c>
    </row>
    <row r="183" spans="1:16" ht="15.6" x14ac:dyDescent="0.35">
      <c r="A183" t="s">
        <v>60</v>
      </c>
      <c r="B183" t="s">
        <v>61</v>
      </c>
      <c r="C183">
        <v>2025</v>
      </c>
      <c r="D183" t="s">
        <v>54</v>
      </c>
      <c r="E183" t="s">
        <v>12</v>
      </c>
      <c r="F183">
        <v>636</v>
      </c>
      <c r="G183" t="s">
        <v>4</v>
      </c>
      <c r="H183" s="12">
        <v>0.17965</v>
      </c>
      <c r="I183" s="14" t="s">
        <v>58</v>
      </c>
      <c r="J183">
        <f t="shared" si="9"/>
        <v>114.2574</v>
      </c>
      <c r="K183" t="b">
        <v>1</v>
      </c>
      <c r="L183">
        <v>1</v>
      </c>
      <c r="M183" t="s">
        <v>5</v>
      </c>
    </row>
    <row r="184" spans="1:16" ht="15.6" x14ac:dyDescent="0.35">
      <c r="A184" t="s">
        <v>60</v>
      </c>
      <c r="B184" t="s">
        <v>61</v>
      </c>
      <c r="C184">
        <v>2025</v>
      </c>
      <c r="D184" t="s">
        <v>54</v>
      </c>
      <c r="E184" s="1" t="s">
        <v>66</v>
      </c>
      <c r="F184">
        <v>583</v>
      </c>
      <c r="G184" t="s">
        <v>14</v>
      </c>
      <c r="H184" s="17">
        <v>0.15311</v>
      </c>
      <c r="I184" s="14" t="s">
        <v>58</v>
      </c>
      <c r="J184">
        <f t="shared" si="9"/>
        <v>89.263130000000004</v>
      </c>
      <c r="K184" t="b">
        <v>1</v>
      </c>
      <c r="L184">
        <v>1</v>
      </c>
      <c r="M184" t="s">
        <v>15</v>
      </c>
    </row>
    <row r="185" spans="1:16" ht="15.6" x14ac:dyDescent="0.35">
      <c r="A185" t="s">
        <v>60</v>
      </c>
      <c r="B185" t="s">
        <v>61</v>
      </c>
      <c r="C185">
        <v>2025</v>
      </c>
      <c r="D185" t="s">
        <v>54</v>
      </c>
      <c r="E185" s="18" t="s">
        <v>13</v>
      </c>
      <c r="F185">
        <v>463</v>
      </c>
      <c r="G185" t="s">
        <v>14</v>
      </c>
      <c r="H185" s="22">
        <v>0.34399999999999997</v>
      </c>
      <c r="I185" s="14" t="s">
        <v>58</v>
      </c>
      <c r="J185">
        <f t="shared" si="9"/>
        <v>159.27199999999999</v>
      </c>
      <c r="K185" t="b">
        <v>1</v>
      </c>
      <c r="L185">
        <v>1</v>
      </c>
      <c r="M185" t="s">
        <v>15</v>
      </c>
    </row>
    <row r="186" spans="1:16" ht="15.6" x14ac:dyDescent="0.35">
      <c r="A186" t="s">
        <v>60</v>
      </c>
      <c r="B186" t="s">
        <v>61</v>
      </c>
      <c r="C186">
        <v>2025</v>
      </c>
      <c r="D186" t="s">
        <v>54</v>
      </c>
      <c r="E186" s="18" t="s">
        <v>18</v>
      </c>
      <c r="F186">
        <v>810</v>
      </c>
      <c r="G186" t="s">
        <v>14</v>
      </c>
      <c r="H186" s="17">
        <v>0.15311</v>
      </c>
      <c r="I186" s="14" t="s">
        <v>58</v>
      </c>
      <c r="J186">
        <f t="shared" si="9"/>
        <v>124.01909999999999</v>
      </c>
      <c r="K186" t="b">
        <v>1</v>
      </c>
      <c r="L186">
        <v>1</v>
      </c>
      <c r="M186" t="s">
        <v>5</v>
      </c>
    </row>
    <row r="187" spans="1:16" ht="15.6" x14ac:dyDescent="0.35">
      <c r="A187" t="s">
        <v>60</v>
      </c>
      <c r="B187" t="s">
        <v>61</v>
      </c>
      <c r="C187">
        <v>2025</v>
      </c>
      <c r="D187" t="s">
        <v>54</v>
      </c>
      <c r="E187" s="18" t="s">
        <v>19</v>
      </c>
      <c r="F187">
        <v>197</v>
      </c>
      <c r="G187" t="s">
        <v>14</v>
      </c>
      <c r="H187" s="20">
        <v>0</v>
      </c>
      <c r="I187" s="16" t="s">
        <v>58</v>
      </c>
      <c r="J187">
        <f t="shared" si="9"/>
        <v>0</v>
      </c>
      <c r="K187" t="b">
        <v>0</v>
      </c>
      <c r="L187">
        <v>0</v>
      </c>
      <c r="M187" t="s">
        <v>20</v>
      </c>
    </row>
    <row r="188" spans="1:16" ht="15.6" x14ac:dyDescent="0.35">
      <c r="A188" t="s">
        <v>60</v>
      </c>
      <c r="B188" t="s">
        <v>61</v>
      </c>
      <c r="C188">
        <v>2025</v>
      </c>
      <c r="D188" t="s">
        <v>54</v>
      </c>
      <c r="E188" s="1" t="s">
        <v>67</v>
      </c>
      <c r="F188">
        <v>428</v>
      </c>
      <c r="G188" t="s">
        <v>14</v>
      </c>
      <c r="H188" s="9">
        <v>0.18573999999999999</v>
      </c>
      <c r="I188" s="14" t="s">
        <v>58</v>
      </c>
      <c r="J188">
        <f t="shared" si="9"/>
        <v>79.496719999999996</v>
      </c>
      <c r="K188" t="b">
        <v>1</v>
      </c>
      <c r="L188">
        <v>1</v>
      </c>
      <c r="M188" t="s">
        <v>68</v>
      </c>
    </row>
    <row r="189" spans="1:16" ht="15.6" x14ac:dyDescent="0.35">
      <c r="A189" t="s">
        <v>60</v>
      </c>
      <c r="B189" t="s">
        <v>61</v>
      </c>
      <c r="C189">
        <v>2025</v>
      </c>
      <c r="D189" t="s">
        <v>54</v>
      </c>
      <c r="E189" s="18" t="s">
        <v>21</v>
      </c>
      <c r="F189">
        <v>336</v>
      </c>
      <c r="G189" t="s">
        <v>14</v>
      </c>
      <c r="H189" s="9">
        <v>0.18573999999999999</v>
      </c>
      <c r="I189" s="16" t="s">
        <v>58</v>
      </c>
      <c r="J189">
        <f t="shared" si="9"/>
        <v>62.408639999999998</v>
      </c>
      <c r="K189" t="b">
        <v>1</v>
      </c>
      <c r="L189">
        <v>1</v>
      </c>
      <c r="M189" t="s">
        <v>15</v>
      </c>
    </row>
    <row r="190" spans="1:16" ht="15.6" x14ac:dyDescent="0.35">
      <c r="A190" t="s">
        <v>60</v>
      </c>
      <c r="B190" t="s">
        <v>61</v>
      </c>
      <c r="C190">
        <v>2025</v>
      </c>
      <c r="D190" t="s">
        <v>54</v>
      </c>
      <c r="E190" s="18" t="s">
        <v>23</v>
      </c>
      <c r="F190">
        <v>593</v>
      </c>
      <c r="G190" t="s">
        <v>14</v>
      </c>
      <c r="H190" s="9">
        <v>0.18573999999999999</v>
      </c>
      <c r="I190" s="16" t="s">
        <v>58</v>
      </c>
      <c r="J190">
        <f t="shared" si="9"/>
        <v>110.14381999999999</v>
      </c>
      <c r="K190" t="b">
        <v>1</v>
      </c>
      <c r="L190">
        <v>1</v>
      </c>
      <c r="M190" t="s">
        <v>5</v>
      </c>
    </row>
    <row r="192" spans="1:16" ht="15.6" x14ac:dyDescent="0.35">
      <c r="A192" t="s">
        <v>60</v>
      </c>
      <c r="B192" t="s">
        <v>61</v>
      </c>
      <c r="C192">
        <v>2025</v>
      </c>
      <c r="D192" t="s">
        <v>55</v>
      </c>
      <c r="E192" t="s">
        <v>3</v>
      </c>
      <c r="F192">
        <v>3071</v>
      </c>
      <c r="G192" t="s">
        <v>4</v>
      </c>
      <c r="H192" s="15">
        <v>0.20263999999999999</v>
      </c>
      <c r="I192" s="14" t="s">
        <v>58</v>
      </c>
      <c r="J192">
        <f>(F192*H192)</f>
        <v>622.30743999999993</v>
      </c>
      <c r="K192" t="b">
        <v>1</v>
      </c>
      <c r="L192">
        <v>1</v>
      </c>
      <c r="M192" t="s">
        <v>5</v>
      </c>
      <c r="O192">
        <f>(J192+J193+J194+J195+J199+J202+J203+J206+J207+J208)</f>
        <v>1415.6615599999998</v>
      </c>
      <c r="P192">
        <f>(J197+J200+J201+J204)</f>
        <v>1151.16005</v>
      </c>
    </row>
    <row r="193" spans="1:13" ht="15.6" x14ac:dyDescent="0.35">
      <c r="A193" t="s">
        <v>60</v>
      </c>
      <c r="B193" t="s">
        <v>61</v>
      </c>
      <c r="C193">
        <v>2025</v>
      </c>
      <c r="D193" t="s">
        <v>55</v>
      </c>
      <c r="E193" t="s">
        <v>6</v>
      </c>
      <c r="F193">
        <v>396</v>
      </c>
      <c r="G193" t="s">
        <v>4</v>
      </c>
      <c r="H193" s="15">
        <v>0.26807999999999998</v>
      </c>
      <c r="I193" s="14" t="s">
        <v>58</v>
      </c>
      <c r="J193">
        <f t="shared" ref="J193:J208" si="10">(F193*H193)</f>
        <v>106.15967999999999</v>
      </c>
      <c r="K193" t="b">
        <v>1</v>
      </c>
      <c r="L193">
        <v>1</v>
      </c>
      <c r="M193" t="s">
        <v>5</v>
      </c>
    </row>
    <row r="194" spans="1:13" ht="15.6" x14ac:dyDescent="0.35">
      <c r="A194" t="s">
        <v>60</v>
      </c>
      <c r="B194" t="s">
        <v>61</v>
      </c>
      <c r="C194">
        <v>2025</v>
      </c>
      <c r="D194" t="s">
        <v>55</v>
      </c>
      <c r="E194" t="s">
        <v>7</v>
      </c>
      <c r="F194">
        <v>796</v>
      </c>
      <c r="G194" t="s">
        <v>4</v>
      </c>
      <c r="H194" s="15">
        <v>0.23030999999999999</v>
      </c>
      <c r="I194" s="14" t="s">
        <v>58</v>
      </c>
      <c r="J194">
        <f t="shared" si="10"/>
        <v>183.32675999999998</v>
      </c>
      <c r="K194" t="b">
        <v>1</v>
      </c>
      <c r="L194">
        <v>1</v>
      </c>
      <c r="M194" t="s">
        <v>5</v>
      </c>
    </row>
    <row r="195" spans="1:13" ht="15.6" x14ac:dyDescent="0.35">
      <c r="A195" t="s">
        <v>60</v>
      </c>
      <c r="B195" t="s">
        <v>61</v>
      </c>
      <c r="C195">
        <v>2025</v>
      </c>
      <c r="D195" t="s">
        <v>55</v>
      </c>
      <c r="E195" t="s">
        <v>62</v>
      </c>
      <c r="F195">
        <v>876</v>
      </c>
      <c r="G195" t="s">
        <v>4</v>
      </c>
      <c r="H195" s="8">
        <v>1.132E-2</v>
      </c>
      <c r="I195" s="14" t="s">
        <v>58</v>
      </c>
      <c r="J195">
        <f t="shared" si="10"/>
        <v>9.9163200000000007</v>
      </c>
      <c r="K195" t="b">
        <v>1</v>
      </c>
      <c r="L195">
        <v>1</v>
      </c>
      <c r="M195" t="s">
        <v>5</v>
      </c>
    </row>
    <row r="196" spans="1:13" ht="15.6" x14ac:dyDescent="0.35">
      <c r="A196" t="s">
        <v>60</v>
      </c>
      <c r="B196" t="s">
        <v>61</v>
      </c>
      <c r="C196">
        <v>2025</v>
      </c>
      <c r="D196" t="s">
        <v>55</v>
      </c>
      <c r="E196" t="s">
        <v>8</v>
      </c>
      <c r="F196">
        <v>3063</v>
      </c>
      <c r="G196" t="s">
        <v>4</v>
      </c>
      <c r="H196" s="19">
        <v>0</v>
      </c>
      <c r="I196" s="14" t="s">
        <v>58</v>
      </c>
      <c r="J196">
        <f t="shared" si="10"/>
        <v>0</v>
      </c>
      <c r="K196" t="b">
        <v>1</v>
      </c>
      <c r="L196">
        <v>1</v>
      </c>
      <c r="M196" t="s">
        <v>9</v>
      </c>
    </row>
    <row r="197" spans="1:13" ht="15.6" x14ac:dyDescent="0.35">
      <c r="A197" t="s">
        <v>60</v>
      </c>
      <c r="B197" t="s">
        <v>61</v>
      </c>
      <c r="C197">
        <v>2025</v>
      </c>
      <c r="D197" t="s">
        <v>55</v>
      </c>
      <c r="E197" t="s">
        <v>10</v>
      </c>
      <c r="F197">
        <v>4285</v>
      </c>
      <c r="G197" t="s">
        <v>4</v>
      </c>
      <c r="H197" s="15">
        <v>0.20705000000000001</v>
      </c>
      <c r="I197" s="14" t="s">
        <v>58</v>
      </c>
      <c r="J197">
        <f t="shared" si="10"/>
        <v>887.20925</v>
      </c>
      <c r="K197" t="b">
        <v>1</v>
      </c>
      <c r="L197">
        <v>1</v>
      </c>
      <c r="M197" t="s">
        <v>5</v>
      </c>
    </row>
    <row r="198" spans="1:13" ht="15.6" x14ac:dyDescent="0.35">
      <c r="A198" t="s">
        <v>60</v>
      </c>
      <c r="B198" t="s">
        <v>61</v>
      </c>
      <c r="C198">
        <v>2025</v>
      </c>
      <c r="D198" t="s">
        <v>55</v>
      </c>
      <c r="E198" t="s">
        <v>63</v>
      </c>
      <c r="F198">
        <v>1032</v>
      </c>
      <c r="G198" t="s">
        <v>4</v>
      </c>
      <c r="H198" s="20">
        <v>0</v>
      </c>
      <c r="I198" s="14" t="s">
        <v>58</v>
      </c>
      <c r="J198">
        <f t="shared" si="10"/>
        <v>0</v>
      </c>
      <c r="K198" t="b">
        <v>1</v>
      </c>
      <c r="L198">
        <v>1</v>
      </c>
      <c r="M198" t="s">
        <v>64</v>
      </c>
    </row>
    <row r="199" spans="1:13" ht="15.6" x14ac:dyDescent="0.35">
      <c r="A199" t="s">
        <v>60</v>
      </c>
      <c r="B199" t="s">
        <v>61</v>
      </c>
      <c r="C199">
        <v>2025</v>
      </c>
      <c r="D199" t="s">
        <v>55</v>
      </c>
      <c r="E199" t="s">
        <v>65</v>
      </c>
      <c r="F199">
        <v>9</v>
      </c>
      <c r="G199" t="s">
        <v>4</v>
      </c>
      <c r="H199" s="21">
        <v>0.20705000000000001</v>
      </c>
      <c r="I199" s="14" t="s">
        <v>58</v>
      </c>
      <c r="J199">
        <f t="shared" si="10"/>
        <v>1.8634500000000001</v>
      </c>
      <c r="K199" t="b">
        <v>1</v>
      </c>
      <c r="L199">
        <v>1</v>
      </c>
      <c r="M199" t="s">
        <v>64</v>
      </c>
    </row>
    <row r="200" spans="1:13" ht="15.6" x14ac:dyDescent="0.35">
      <c r="A200" t="s">
        <v>60</v>
      </c>
      <c r="B200" t="s">
        <v>61</v>
      </c>
      <c r="C200">
        <v>2025</v>
      </c>
      <c r="D200" t="s">
        <v>55</v>
      </c>
      <c r="E200" t="s">
        <v>11</v>
      </c>
      <c r="F200">
        <v>223</v>
      </c>
      <c r="G200" t="s">
        <v>4</v>
      </c>
      <c r="H200" s="8">
        <v>0.20263999999999999</v>
      </c>
      <c r="I200" s="14" t="s">
        <v>58</v>
      </c>
      <c r="J200">
        <f t="shared" si="10"/>
        <v>45.188719999999996</v>
      </c>
      <c r="K200" t="b">
        <v>1</v>
      </c>
      <c r="L200">
        <v>1</v>
      </c>
      <c r="M200" t="s">
        <v>5</v>
      </c>
    </row>
    <row r="201" spans="1:13" ht="15.6" x14ac:dyDescent="0.35">
      <c r="A201" t="s">
        <v>60</v>
      </c>
      <c r="B201" t="s">
        <v>61</v>
      </c>
      <c r="C201">
        <v>2025</v>
      </c>
      <c r="D201" t="s">
        <v>55</v>
      </c>
      <c r="E201" t="s">
        <v>12</v>
      </c>
      <c r="F201">
        <v>593</v>
      </c>
      <c r="G201" t="s">
        <v>4</v>
      </c>
      <c r="H201" s="12">
        <v>0.17965</v>
      </c>
      <c r="I201" s="14" t="s">
        <v>58</v>
      </c>
      <c r="J201">
        <f t="shared" si="10"/>
        <v>106.53245</v>
      </c>
      <c r="K201" t="b">
        <v>1</v>
      </c>
      <c r="L201">
        <v>1</v>
      </c>
      <c r="M201" t="s">
        <v>5</v>
      </c>
    </row>
    <row r="202" spans="1:13" ht="15.6" x14ac:dyDescent="0.35">
      <c r="A202" t="s">
        <v>60</v>
      </c>
      <c r="B202" t="s">
        <v>61</v>
      </c>
      <c r="C202">
        <v>2025</v>
      </c>
      <c r="D202" t="s">
        <v>55</v>
      </c>
      <c r="E202" s="1" t="s">
        <v>66</v>
      </c>
      <c r="F202">
        <v>529</v>
      </c>
      <c r="G202" t="s">
        <v>14</v>
      </c>
      <c r="H202" s="17">
        <v>0.15311</v>
      </c>
      <c r="I202" s="14" t="s">
        <v>58</v>
      </c>
      <c r="J202">
        <f t="shared" si="10"/>
        <v>80.995189999999994</v>
      </c>
      <c r="K202" t="b">
        <v>1</v>
      </c>
      <c r="L202">
        <v>1</v>
      </c>
      <c r="M202" t="s">
        <v>15</v>
      </c>
    </row>
    <row r="203" spans="1:13" ht="15.6" x14ac:dyDescent="0.35">
      <c r="A203" t="s">
        <v>60</v>
      </c>
      <c r="B203" t="s">
        <v>61</v>
      </c>
      <c r="C203">
        <v>2025</v>
      </c>
      <c r="D203" t="s">
        <v>55</v>
      </c>
      <c r="E203" s="18" t="s">
        <v>13</v>
      </c>
      <c r="F203">
        <v>424</v>
      </c>
      <c r="G203" t="s">
        <v>14</v>
      </c>
      <c r="H203" s="22">
        <v>0.34399999999999997</v>
      </c>
      <c r="I203" s="14" t="s">
        <v>58</v>
      </c>
      <c r="J203">
        <f t="shared" si="10"/>
        <v>145.85599999999999</v>
      </c>
      <c r="K203" t="b">
        <v>1</v>
      </c>
      <c r="L203">
        <v>1</v>
      </c>
      <c r="M203" t="s">
        <v>15</v>
      </c>
    </row>
    <row r="204" spans="1:13" ht="15.6" x14ac:dyDescent="0.35">
      <c r="A204" t="s">
        <v>60</v>
      </c>
      <c r="B204" t="s">
        <v>61</v>
      </c>
      <c r="C204">
        <v>2025</v>
      </c>
      <c r="D204" t="s">
        <v>55</v>
      </c>
      <c r="E204" s="18" t="s">
        <v>18</v>
      </c>
      <c r="F204">
        <v>733</v>
      </c>
      <c r="G204" t="s">
        <v>14</v>
      </c>
      <c r="H204" s="17">
        <v>0.15311</v>
      </c>
      <c r="I204" s="14" t="s">
        <v>58</v>
      </c>
      <c r="J204">
        <f t="shared" si="10"/>
        <v>112.22963</v>
      </c>
      <c r="K204" t="b">
        <v>1</v>
      </c>
      <c r="L204">
        <v>1</v>
      </c>
      <c r="M204" t="s">
        <v>5</v>
      </c>
    </row>
    <row r="205" spans="1:13" ht="15.6" x14ac:dyDescent="0.35">
      <c r="A205" t="s">
        <v>60</v>
      </c>
      <c r="B205" t="s">
        <v>61</v>
      </c>
      <c r="C205">
        <v>2025</v>
      </c>
      <c r="D205" t="s">
        <v>55</v>
      </c>
      <c r="E205" s="18" t="s">
        <v>19</v>
      </c>
      <c r="F205">
        <v>125</v>
      </c>
      <c r="G205" t="s">
        <v>14</v>
      </c>
      <c r="H205" s="20">
        <v>0</v>
      </c>
      <c r="I205" s="16" t="s">
        <v>58</v>
      </c>
      <c r="J205">
        <f t="shared" si="10"/>
        <v>0</v>
      </c>
      <c r="K205" t="b">
        <v>0</v>
      </c>
      <c r="L205">
        <v>0</v>
      </c>
      <c r="M205" t="s">
        <v>20</v>
      </c>
    </row>
    <row r="206" spans="1:13" ht="15.6" x14ac:dyDescent="0.35">
      <c r="A206" t="s">
        <v>60</v>
      </c>
      <c r="B206" t="s">
        <v>61</v>
      </c>
      <c r="C206">
        <v>2025</v>
      </c>
      <c r="D206" t="s">
        <v>55</v>
      </c>
      <c r="E206" s="1" t="s">
        <v>67</v>
      </c>
      <c r="F206">
        <v>497</v>
      </c>
      <c r="G206" t="s">
        <v>14</v>
      </c>
      <c r="H206" s="9">
        <v>0.18573999999999999</v>
      </c>
      <c r="I206" s="14" t="s">
        <v>58</v>
      </c>
      <c r="J206">
        <f t="shared" si="10"/>
        <v>92.312779999999989</v>
      </c>
      <c r="K206" t="b">
        <v>1</v>
      </c>
      <c r="L206">
        <v>1</v>
      </c>
      <c r="M206" t="s">
        <v>68</v>
      </c>
    </row>
    <row r="207" spans="1:13" ht="15.6" x14ac:dyDescent="0.35">
      <c r="A207" t="s">
        <v>60</v>
      </c>
      <c r="B207" t="s">
        <v>61</v>
      </c>
      <c r="C207">
        <v>2025</v>
      </c>
      <c r="D207" t="s">
        <v>55</v>
      </c>
      <c r="E207" s="18" t="s">
        <v>21</v>
      </c>
      <c r="F207">
        <v>364</v>
      </c>
      <c r="G207" t="s">
        <v>14</v>
      </c>
      <c r="H207" s="9">
        <v>0.18573999999999999</v>
      </c>
      <c r="I207" s="16" t="s">
        <v>58</v>
      </c>
      <c r="J207">
        <f t="shared" si="10"/>
        <v>67.609359999999995</v>
      </c>
      <c r="K207" t="b">
        <v>1</v>
      </c>
      <c r="L207">
        <v>1</v>
      </c>
      <c r="M207" t="s">
        <v>15</v>
      </c>
    </row>
    <row r="208" spans="1:13" ht="15.6" x14ac:dyDescent="0.35">
      <c r="A208" t="s">
        <v>60</v>
      </c>
      <c r="B208" t="s">
        <v>61</v>
      </c>
      <c r="C208">
        <v>2025</v>
      </c>
      <c r="D208" t="s">
        <v>55</v>
      </c>
      <c r="E208" s="18" t="s">
        <v>23</v>
      </c>
      <c r="F208">
        <v>567</v>
      </c>
      <c r="G208" t="s">
        <v>14</v>
      </c>
      <c r="H208" s="9">
        <v>0.18573999999999999</v>
      </c>
      <c r="I208" s="16" t="s">
        <v>58</v>
      </c>
      <c r="J208">
        <f t="shared" si="10"/>
        <v>105.31457999999999</v>
      </c>
      <c r="K208" t="b">
        <v>1</v>
      </c>
      <c r="L208">
        <v>1</v>
      </c>
      <c r="M208" t="s">
        <v>5</v>
      </c>
    </row>
    <row r="210" spans="1:16" ht="15.6" x14ac:dyDescent="0.35">
      <c r="A210" t="s">
        <v>60</v>
      </c>
      <c r="B210" t="s">
        <v>61</v>
      </c>
      <c r="C210">
        <v>2025</v>
      </c>
      <c r="D210" t="s">
        <v>56</v>
      </c>
      <c r="E210" t="s">
        <v>3</v>
      </c>
      <c r="F210">
        <v>3064</v>
      </c>
      <c r="G210" t="s">
        <v>4</v>
      </c>
      <c r="H210" s="15">
        <v>0.20263999999999999</v>
      </c>
      <c r="I210" s="14" t="s">
        <v>58</v>
      </c>
      <c r="J210">
        <f>(F210*H210)</f>
        <v>620.88896</v>
      </c>
      <c r="K210" t="b">
        <v>1</v>
      </c>
      <c r="L210">
        <v>1</v>
      </c>
      <c r="M210" t="s">
        <v>5</v>
      </c>
      <c r="O210">
        <f>(J210+J211+J212+J213+J217+J220+J221+J224+J225+J226)</f>
        <v>1572.9060299999996</v>
      </c>
      <c r="P210">
        <f>(J215+J218+J219+J222)</f>
        <v>1623.47793</v>
      </c>
    </row>
    <row r="211" spans="1:16" ht="15.6" x14ac:dyDescent="0.35">
      <c r="A211" t="s">
        <v>60</v>
      </c>
      <c r="B211" t="s">
        <v>61</v>
      </c>
      <c r="C211">
        <v>2025</v>
      </c>
      <c r="D211" t="s">
        <v>56</v>
      </c>
      <c r="E211" t="s">
        <v>6</v>
      </c>
      <c r="F211">
        <v>1171</v>
      </c>
      <c r="G211" t="s">
        <v>4</v>
      </c>
      <c r="H211" s="15">
        <v>0.26807999999999998</v>
      </c>
      <c r="I211" s="14" t="s">
        <v>58</v>
      </c>
      <c r="J211">
        <f t="shared" ref="J211:J226" si="11">(F211*H211)</f>
        <v>313.92167999999998</v>
      </c>
      <c r="K211" t="b">
        <v>1</v>
      </c>
      <c r="L211">
        <v>1</v>
      </c>
      <c r="M211" t="s">
        <v>5</v>
      </c>
    </row>
    <row r="212" spans="1:16" ht="15.6" x14ac:dyDescent="0.35">
      <c r="A212" t="s">
        <v>60</v>
      </c>
      <c r="B212" t="s">
        <v>61</v>
      </c>
      <c r="C212">
        <v>2025</v>
      </c>
      <c r="D212" t="s">
        <v>56</v>
      </c>
      <c r="E212" t="s">
        <v>7</v>
      </c>
      <c r="F212">
        <v>602</v>
      </c>
      <c r="G212" t="s">
        <v>4</v>
      </c>
      <c r="H212" s="15">
        <v>0.23030999999999999</v>
      </c>
      <c r="I212" s="14" t="s">
        <v>58</v>
      </c>
      <c r="J212">
        <f t="shared" si="11"/>
        <v>138.64661999999998</v>
      </c>
      <c r="K212" t="b">
        <v>1</v>
      </c>
      <c r="L212">
        <v>1</v>
      </c>
      <c r="M212" t="s">
        <v>5</v>
      </c>
    </row>
    <row r="213" spans="1:16" ht="15.6" x14ac:dyDescent="0.35">
      <c r="A213" t="s">
        <v>60</v>
      </c>
      <c r="B213" t="s">
        <v>61</v>
      </c>
      <c r="C213">
        <v>2025</v>
      </c>
      <c r="D213" t="s">
        <v>56</v>
      </c>
      <c r="E213" t="s">
        <v>62</v>
      </c>
      <c r="F213">
        <v>636</v>
      </c>
      <c r="G213" t="s">
        <v>4</v>
      </c>
      <c r="H213" s="8">
        <v>1.132E-2</v>
      </c>
      <c r="I213" s="14" t="s">
        <v>58</v>
      </c>
      <c r="J213">
        <f t="shared" si="11"/>
        <v>7.1995199999999997</v>
      </c>
      <c r="K213" t="b">
        <v>1</v>
      </c>
      <c r="L213">
        <v>1</v>
      </c>
      <c r="M213" t="s">
        <v>5</v>
      </c>
    </row>
    <row r="214" spans="1:16" ht="15.6" x14ac:dyDescent="0.35">
      <c r="A214" t="s">
        <v>60</v>
      </c>
      <c r="B214" t="s">
        <v>61</v>
      </c>
      <c r="C214">
        <v>2025</v>
      </c>
      <c r="D214" t="s">
        <v>56</v>
      </c>
      <c r="E214" t="s">
        <v>8</v>
      </c>
      <c r="F214">
        <v>5327</v>
      </c>
      <c r="G214" t="s">
        <v>4</v>
      </c>
      <c r="H214" s="19">
        <v>0</v>
      </c>
      <c r="I214" s="14" t="s">
        <v>58</v>
      </c>
      <c r="J214">
        <f t="shared" si="11"/>
        <v>0</v>
      </c>
      <c r="K214" t="b">
        <v>1</v>
      </c>
      <c r="L214">
        <v>1</v>
      </c>
      <c r="M214" t="s">
        <v>9</v>
      </c>
    </row>
    <row r="215" spans="1:16" ht="15.6" x14ac:dyDescent="0.35">
      <c r="A215" t="s">
        <v>60</v>
      </c>
      <c r="B215" t="s">
        <v>61</v>
      </c>
      <c r="C215">
        <v>2025</v>
      </c>
      <c r="D215" t="s">
        <v>56</v>
      </c>
      <c r="E215" t="s">
        <v>10</v>
      </c>
      <c r="F215">
        <v>6578</v>
      </c>
      <c r="G215" t="s">
        <v>4</v>
      </c>
      <c r="H215" s="15">
        <v>0.20705000000000001</v>
      </c>
      <c r="I215" s="14" t="s">
        <v>58</v>
      </c>
      <c r="J215">
        <f t="shared" si="11"/>
        <v>1361.9749000000002</v>
      </c>
      <c r="K215" t="b">
        <v>1</v>
      </c>
      <c r="L215">
        <v>1</v>
      </c>
      <c r="M215" t="s">
        <v>5</v>
      </c>
    </row>
    <row r="216" spans="1:16" ht="15.6" x14ac:dyDescent="0.35">
      <c r="A216" t="s">
        <v>60</v>
      </c>
      <c r="B216" t="s">
        <v>61</v>
      </c>
      <c r="C216">
        <v>2025</v>
      </c>
      <c r="D216" t="s">
        <v>56</v>
      </c>
      <c r="E216" t="s">
        <v>63</v>
      </c>
      <c r="F216">
        <v>1166</v>
      </c>
      <c r="G216" t="s">
        <v>4</v>
      </c>
      <c r="H216" s="20">
        <v>0</v>
      </c>
      <c r="I216" s="14" t="s">
        <v>58</v>
      </c>
      <c r="J216">
        <f t="shared" si="11"/>
        <v>0</v>
      </c>
      <c r="K216" t="b">
        <v>1</v>
      </c>
      <c r="L216">
        <v>1</v>
      </c>
      <c r="M216" t="s">
        <v>64</v>
      </c>
    </row>
    <row r="217" spans="1:16" ht="15.6" x14ac:dyDescent="0.35">
      <c r="A217" t="s">
        <v>60</v>
      </c>
      <c r="B217" t="s">
        <v>61</v>
      </c>
      <c r="C217">
        <v>2025</v>
      </c>
      <c r="D217" t="s">
        <v>56</v>
      </c>
      <c r="E217" t="s">
        <v>65</v>
      </c>
      <c r="F217">
        <v>62</v>
      </c>
      <c r="G217" t="s">
        <v>4</v>
      </c>
      <c r="H217" s="21">
        <v>0.20705000000000001</v>
      </c>
      <c r="I217" s="14" t="s">
        <v>58</v>
      </c>
      <c r="J217">
        <f t="shared" si="11"/>
        <v>12.837100000000001</v>
      </c>
      <c r="K217" t="b">
        <v>1</v>
      </c>
      <c r="L217">
        <v>1</v>
      </c>
      <c r="M217" t="s">
        <v>64</v>
      </c>
    </row>
    <row r="218" spans="1:16" ht="15.6" x14ac:dyDescent="0.35">
      <c r="A218" t="s">
        <v>60</v>
      </c>
      <c r="B218" t="s">
        <v>61</v>
      </c>
      <c r="C218">
        <v>2025</v>
      </c>
      <c r="D218" t="s">
        <v>56</v>
      </c>
      <c r="E218" t="s">
        <v>11</v>
      </c>
      <c r="F218">
        <v>158</v>
      </c>
      <c r="G218" t="s">
        <v>4</v>
      </c>
      <c r="H218" s="8">
        <v>0.20263999999999999</v>
      </c>
      <c r="I218" s="14" t="s">
        <v>58</v>
      </c>
      <c r="J218">
        <f t="shared" si="11"/>
        <v>32.017119999999998</v>
      </c>
      <c r="K218" t="b">
        <v>1</v>
      </c>
      <c r="L218">
        <v>1</v>
      </c>
      <c r="M218" t="s">
        <v>5</v>
      </c>
    </row>
    <row r="219" spans="1:16" ht="15.6" x14ac:dyDescent="0.35">
      <c r="A219" t="s">
        <v>60</v>
      </c>
      <c r="B219" t="s">
        <v>61</v>
      </c>
      <c r="C219">
        <v>2025</v>
      </c>
      <c r="D219" t="s">
        <v>56</v>
      </c>
      <c r="E219" t="s">
        <v>12</v>
      </c>
      <c r="F219">
        <v>599</v>
      </c>
      <c r="G219" t="s">
        <v>4</v>
      </c>
      <c r="H219" s="12">
        <v>0.17965</v>
      </c>
      <c r="I219" s="14" t="s">
        <v>58</v>
      </c>
      <c r="J219">
        <f t="shared" si="11"/>
        <v>107.61035</v>
      </c>
      <c r="K219" t="b">
        <v>1</v>
      </c>
      <c r="L219">
        <v>1</v>
      </c>
      <c r="M219" t="s">
        <v>5</v>
      </c>
    </row>
    <row r="220" spans="1:16" ht="15.6" x14ac:dyDescent="0.35">
      <c r="A220" t="s">
        <v>60</v>
      </c>
      <c r="B220" t="s">
        <v>61</v>
      </c>
      <c r="C220">
        <v>2025</v>
      </c>
      <c r="D220" t="s">
        <v>56</v>
      </c>
      <c r="E220" s="1" t="s">
        <v>66</v>
      </c>
      <c r="F220">
        <v>589</v>
      </c>
      <c r="G220" t="s">
        <v>14</v>
      </c>
      <c r="H220" s="17">
        <v>0.15311</v>
      </c>
      <c r="I220" s="14" t="s">
        <v>58</v>
      </c>
      <c r="J220">
        <f t="shared" si="11"/>
        <v>90.181789999999992</v>
      </c>
      <c r="K220" t="b">
        <v>1</v>
      </c>
      <c r="L220">
        <v>1</v>
      </c>
      <c r="M220" t="s">
        <v>15</v>
      </c>
    </row>
    <row r="221" spans="1:16" ht="15.6" x14ac:dyDescent="0.35">
      <c r="A221" t="s">
        <v>60</v>
      </c>
      <c r="B221" t="s">
        <v>61</v>
      </c>
      <c r="C221">
        <v>2025</v>
      </c>
      <c r="D221" t="s">
        <v>56</v>
      </c>
      <c r="E221" s="18" t="s">
        <v>13</v>
      </c>
      <c r="F221">
        <v>422</v>
      </c>
      <c r="G221" t="s">
        <v>14</v>
      </c>
      <c r="H221" s="22">
        <v>0.34399999999999997</v>
      </c>
      <c r="I221" s="14" t="s">
        <v>58</v>
      </c>
      <c r="J221">
        <f t="shared" si="11"/>
        <v>145.16799999999998</v>
      </c>
      <c r="K221" t="b">
        <v>1</v>
      </c>
      <c r="L221">
        <v>1</v>
      </c>
      <c r="M221" t="s">
        <v>15</v>
      </c>
    </row>
    <row r="222" spans="1:16" ht="15.6" x14ac:dyDescent="0.35">
      <c r="A222" t="s">
        <v>60</v>
      </c>
      <c r="B222" t="s">
        <v>61</v>
      </c>
      <c r="C222">
        <v>2025</v>
      </c>
      <c r="D222" t="s">
        <v>56</v>
      </c>
      <c r="E222" s="18" t="s">
        <v>18</v>
      </c>
      <c r="F222">
        <v>796</v>
      </c>
      <c r="G222" t="s">
        <v>14</v>
      </c>
      <c r="H222" s="17">
        <v>0.15311</v>
      </c>
      <c r="I222" s="14" t="s">
        <v>58</v>
      </c>
      <c r="J222">
        <f t="shared" si="11"/>
        <v>121.87555999999999</v>
      </c>
      <c r="K222" t="b">
        <v>1</v>
      </c>
      <c r="L222">
        <v>1</v>
      </c>
      <c r="M222" t="s">
        <v>5</v>
      </c>
    </row>
    <row r="223" spans="1:16" ht="15.6" x14ac:dyDescent="0.35">
      <c r="A223" t="s">
        <v>60</v>
      </c>
      <c r="B223" t="s">
        <v>61</v>
      </c>
      <c r="C223">
        <v>2025</v>
      </c>
      <c r="D223" t="s">
        <v>56</v>
      </c>
      <c r="E223" s="18" t="s">
        <v>19</v>
      </c>
      <c r="F223">
        <v>123</v>
      </c>
      <c r="G223" t="s">
        <v>14</v>
      </c>
      <c r="H223" s="20">
        <v>0</v>
      </c>
      <c r="I223" s="16" t="s">
        <v>58</v>
      </c>
      <c r="J223">
        <f t="shared" si="11"/>
        <v>0</v>
      </c>
      <c r="K223" t="b">
        <v>0</v>
      </c>
      <c r="L223">
        <v>0</v>
      </c>
      <c r="M223" t="s">
        <v>20</v>
      </c>
    </row>
    <row r="224" spans="1:16" ht="15.6" x14ac:dyDescent="0.35">
      <c r="A224" t="s">
        <v>60</v>
      </c>
      <c r="B224" t="s">
        <v>61</v>
      </c>
      <c r="C224">
        <v>2025</v>
      </c>
      <c r="D224" t="s">
        <v>56</v>
      </c>
      <c r="E224" s="1" t="s">
        <v>67</v>
      </c>
      <c r="F224">
        <v>427</v>
      </c>
      <c r="G224" t="s">
        <v>14</v>
      </c>
      <c r="H224" s="9">
        <v>0.18573999999999999</v>
      </c>
      <c r="I224" s="14" t="s">
        <v>58</v>
      </c>
      <c r="J224">
        <f t="shared" si="11"/>
        <v>79.310980000000001</v>
      </c>
      <c r="K224" t="b">
        <v>1</v>
      </c>
      <c r="L224">
        <v>1</v>
      </c>
      <c r="M224" t="s">
        <v>68</v>
      </c>
    </row>
    <row r="225" spans="1:13" ht="15.6" x14ac:dyDescent="0.35">
      <c r="A225" t="s">
        <v>60</v>
      </c>
      <c r="B225" t="s">
        <v>61</v>
      </c>
      <c r="C225">
        <v>2025</v>
      </c>
      <c r="D225" t="s">
        <v>56</v>
      </c>
      <c r="E225" s="18" t="s">
        <v>21</v>
      </c>
      <c r="F225">
        <v>294</v>
      </c>
      <c r="G225" t="s">
        <v>14</v>
      </c>
      <c r="H225" s="9">
        <v>0.18573999999999999</v>
      </c>
      <c r="I225" s="16" t="s">
        <v>58</v>
      </c>
      <c r="J225">
        <f t="shared" si="11"/>
        <v>54.607559999999999</v>
      </c>
      <c r="K225" t="b">
        <v>1</v>
      </c>
      <c r="L225">
        <v>1</v>
      </c>
      <c r="M225" t="s">
        <v>15</v>
      </c>
    </row>
    <row r="226" spans="1:13" ht="15.6" x14ac:dyDescent="0.35">
      <c r="A226" t="s">
        <v>60</v>
      </c>
      <c r="B226" t="s">
        <v>61</v>
      </c>
      <c r="C226">
        <v>2025</v>
      </c>
      <c r="D226" t="s">
        <v>56</v>
      </c>
      <c r="E226" s="18" t="s">
        <v>23</v>
      </c>
      <c r="F226">
        <v>593</v>
      </c>
      <c r="G226" t="s">
        <v>14</v>
      </c>
      <c r="H226" s="9">
        <v>0.18573999999999999</v>
      </c>
      <c r="I226" s="16" t="s">
        <v>58</v>
      </c>
      <c r="J226">
        <f t="shared" si="11"/>
        <v>110.14381999999999</v>
      </c>
      <c r="K226" t="b">
        <v>1</v>
      </c>
      <c r="L226">
        <v>1</v>
      </c>
      <c r="M226" t="s">
        <v>5</v>
      </c>
    </row>
  </sheetData>
  <mergeCells count="2">
    <mergeCell ref="A1:B1"/>
    <mergeCell ref="C7:G7"/>
  </mergeCells>
  <conditionalFormatting sqref="A15:A28">
    <cfRule type="duplicateValues" dxfId="15" priority="15"/>
  </conditionalFormatting>
  <conditionalFormatting sqref="A32:A46">
    <cfRule type="duplicateValues" dxfId="14" priority="14"/>
  </conditionalFormatting>
  <conditionalFormatting sqref="A50:A64">
    <cfRule type="duplicateValues" dxfId="13" priority="2"/>
  </conditionalFormatting>
  <conditionalFormatting sqref="A67:A77">
    <cfRule type="duplicateValues" dxfId="12" priority="18"/>
  </conditionalFormatting>
  <conditionalFormatting sqref="A81:A82 A84:A95 A78">
    <cfRule type="duplicateValues" dxfId="11" priority="1"/>
  </conditionalFormatting>
  <conditionalFormatting sqref="A99:A100 A102:A113 A96">
    <cfRule type="duplicateValues" dxfId="10" priority="10"/>
  </conditionalFormatting>
  <conditionalFormatting sqref="A117:A118 A120:A131 A114">
    <cfRule type="duplicateValues" dxfId="9" priority="9"/>
  </conditionalFormatting>
  <conditionalFormatting sqref="A135:A136 A138:A149 A132">
    <cfRule type="duplicateValues" dxfId="8" priority="8"/>
  </conditionalFormatting>
  <conditionalFormatting sqref="A153:A154 A156:A167 A150">
    <cfRule type="duplicateValues" dxfId="7" priority="7"/>
  </conditionalFormatting>
  <conditionalFormatting sqref="A171:A172 A174:A185 A168">
    <cfRule type="duplicateValues" dxfId="6" priority="6"/>
  </conditionalFormatting>
  <conditionalFormatting sqref="A189:A190 A192:A203 A186">
    <cfRule type="duplicateValues" dxfId="5" priority="5"/>
  </conditionalFormatting>
  <conditionalFormatting sqref="A207:A208 A210:A221 A204">
    <cfRule type="duplicateValues" dxfId="4" priority="4"/>
  </conditionalFormatting>
  <conditionalFormatting sqref="A225:A226 A222">
    <cfRule type="duplicateValues" dxfId="3" priority="1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C8BF-0CF2-4445-8B3B-5EE4C7A8A53B}">
  <dimension ref="A1:Q250"/>
  <sheetViews>
    <sheetView topLeftCell="A61" zoomScale="55" workbookViewId="0">
      <selection activeCell="S26" sqref="S26"/>
    </sheetView>
  </sheetViews>
  <sheetFormatPr defaultRowHeight="14.4" x14ac:dyDescent="0.3"/>
  <cols>
    <col min="1" max="1" width="13.33203125" customWidth="1"/>
    <col min="2" max="2" width="13.77734375" customWidth="1"/>
    <col min="3" max="3" width="17.88671875" customWidth="1"/>
    <col min="4" max="4" width="14.5546875" customWidth="1"/>
    <col min="5" max="5" width="27.6640625" customWidth="1"/>
    <col min="6" max="6" width="14.6640625" customWidth="1"/>
    <col min="7" max="7" width="14.109375" customWidth="1"/>
    <col min="8" max="8" width="14.5546875" customWidth="1"/>
    <col min="9" max="9" width="15.5546875" customWidth="1"/>
    <col min="10" max="10" width="11.5546875" customWidth="1"/>
    <col min="11" max="11" width="14.77734375" customWidth="1"/>
    <col min="12" max="12" width="14.6640625" customWidth="1"/>
    <col min="13" max="13" width="17" customWidth="1"/>
  </cols>
  <sheetData>
    <row r="1" spans="1:17" x14ac:dyDescent="0.3">
      <c r="A1" s="75" t="s">
        <v>24</v>
      </c>
      <c r="B1" s="75"/>
    </row>
    <row r="2" spans="1:17" x14ac:dyDescent="0.3">
      <c r="A2" s="1" t="s">
        <v>25</v>
      </c>
      <c r="B2" s="1" t="s">
        <v>26</v>
      </c>
    </row>
    <row r="3" spans="1:17" x14ac:dyDescent="0.3">
      <c r="A3" s="1" t="s">
        <v>27</v>
      </c>
      <c r="B3" s="1" t="s">
        <v>28</v>
      </c>
    </row>
    <row r="4" spans="1:17" x14ac:dyDescent="0.3">
      <c r="A4" s="1" t="s">
        <v>29</v>
      </c>
      <c r="B4" s="2">
        <v>45870</v>
      </c>
    </row>
    <row r="5" spans="1:17" x14ac:dyDescent="0.3">
      <c r="A5" s="1" t="s">
        <v>30</v>
      </c>
      <c r="B5" s="1" t="s">
        <v>31</v>
      </c>
    </row>
    <row r="6" spans="1:17" x14ac:dyDescent="0.3">
      <c r="A6" s="1" t="s">
        <v>32</v>
      </c>
      <c r="B6" s="1" t="s">
        <v>33</v>
      </c>
    </row>
    <row r="7" spans="1:17" x14ac:dyDescent="0.3">
      <c r="B7" s="3" t="s">
        <v>34</v>
      </c>
      <c r="C7" s="76" t="s">
        <v>35</v>
      </c>
      <c r="D7" s="76"/>
      <c r="E7" s="76"/>
      <c r="F7" s="76"/>
      <c r="G7" s="76"/>
      <c r="H7" s="7"/>
      <c r="I7" s="7"/>
      <c r="J7" s="7"/>
    </row>
    <row r="8" spans="1:17" x14ac:dyDescent="0.3">
      <c r="B8" s="38"/>
      <c r="C8" s="7"/>
      <c r="D8" s="7"/>
      <c r="E8" s="7"/>
      <c r="F8" s="7"/>
      <c r="G8" s="7"/>
      <c r="H8" s="7"/>
      <c r="I8" s="7"/>
      <c r="J8" s="7"/>
    </row>
    <row r="9" spans="1:17" x14ac:dyDescent="0.3">
      <c r="A9" s="4" t="s">
        <v>36</v>
      </c>
      <c r="B9" s="4" t="s">
        <v>37</v>
      </c>
      <c r="C9" s="4" t="s">
        <v>38</v>
      </c>
      <c r="D9" s="5" t="s">
        <v>39</v>
      </c>
      <c r="E9" s="4" t="s">
        <v>40</v>
      </c>
      <c r="F9" s="6" t="s">
        <v>41</v>
      </c>
      <c r="G9" s="4" t="s">
        <v>42</v>
      </c>
      <c r="H9" s="4" t="s">
        <v>57</v>
      </c>
      <c r="I9" s="4" t="s">
        <v>42</v>
      </c>
      <c r="J9" s="4" t="s">
        <v>59</v>
      </c>
      <c r="K9" s="4" t="s">
        <v>43</v>
      </c>
      <c r="L9" s="4" t="s">
        <v>44</v>
      </c>
      <c r="M9" s="4" t="s">
        <v>45</v>
      </c>
      <c r="O9" s="37" t="s">
        <v>172</v>
      </c>
      <c r="P9" s="37" t="s">
        <v>173</v>
      </c>
    </row>
    <row r="10" spans="1:17" ht="15.6" x14ac:dyDescent="0.35">
      <c r="O10" s="38">
        <f>SUM(O12:O250)</f>
        <v>21605.952840000002</v>
      </c>
      <c r="P10" s="38">
        <f>SUM(P12:P250)</f>
        <v>15223.957249999999</v>
      </c>
      <c r="Q10" s="14" t="s">
        <v>58</v>
      </c>
    </row>
    <row r="12" spans="1:17" ht="15.6" x14ac:dyDescent="0.35">
      <c r="A12" t="s">
        <v>69</v>
      </c>
      <c r="B12" t="s">
        <v>70</v>
      </c>
      <c r="C12">
        <v>2025</v>
      </c>
      <c r="D12" t="s">
        <v>2</v>
      </c>
      <c r="E12" s="39" t="s">
        <v>3</v>
      </c>
      <c r="F12">
        <v>2910</v>
      </c>
      <c r="G12" t="s">
        <v>4</v>
      </c>
      <c r="H12" s="15">
        <v>0.20263999999999999</v>
      </c>
      <c r="I12" s="14" t="s">
        <v>58</v>
      </c>
      <c r="J12">
        <f>(F12*H12)</f>
        <v>589.68239999999992</v>
      </c>
      <c r="K12" t="b">
        <v>1</v>
      </c>
      <c r="L12">
        <v>1</v>
      </c>
      <c r="M12" t="s">
        <v>5</v>
      </c>
      <c r="O12">
        <f>(J12+J13+J14+J15+J19+J22+J23+J24+J27+J28+J29+J30)</f>
        <v>1898.5792399999998</v>
      </c>
      <c r="P12">
        <f>(J17+J20+J21+J25)</f>
        <v>1923.8069</v>
      </c>
    </row>
    <row r="13" spans="1:17" ht="15.6" x14ac:dyDescent="0.35">
      <c r="A13" t="s">
        <v>69</v>
      </c>
      <c r="B13" t="s">
        <v>70</v>
      </c>
      <c r="C13">
        <v>2025</v>
      </c>
      <c r="D13" t="s">
        <v>2</v>
      </c>
      <c r="E13" s="39" t="s">
        <v>6</v>
      </c>
      <c r="F13">
        <v>1054</v>
      </c>
      <c r="G13" t="s">
        <v>4</v>
      </c>
      <c r="H13" s="15">
        <v>0.26807999999999998</v>
      </c>
      <c r="I13" s="14" t="s">
        <v>58</v>
      </c>
      <c r="J13">
        <f t="shared" ref="J13:J30" si="0">(F13*H13)</f>
        <v>282.55631999999997</v>
      </c>
      <c r="K13" t="b">
        <v>1</v>
      </c>
      <c r="L13">
        <v>1</v>
      </c>
      <c r="M13" t="s">
        <v>5</v>
      </c>
    </row>
    <row r="14" spans="1:17" ht="15.6" x14ac:dyDescent="0.35">
      <c r="A14" t="s">
        <v>69</v>
      </c>
      <c r="B14" t="s">
        <v>70</v>
      </c>
      <c r="C14">
        <v>2025</v>
      </c>
      <c r="D14" t="s">
        <v>2</v>
      </c>
      <c r="E14" s="39" t="s">
        <v>7</v>
      </c>
      <c r="F14">
        <v>978</v>
      </c>
      <c r="G14" t="s">
        <v>4</v>
      </c>
      <c r="H14" s="15">
        <v>0.23030999999999999</v>
      </c>
      <c r="I14" s="14" t="s">
        <v>58</v>
      </c>
      <c r="J14">
        <f t="shared" si="0"/>
        <v>225.24318</v>
      </c>
      <c r="K14" t="b">
        <v>1</v>
      </c>
      <c r="L14">
        <v>1</v>
      </c>
      <c r="M14" t="s">
        <v>5</v>
      </c>
    </row>
    <row r="15" spans="1:17" ht="15.6" x14ac:dyDescent="0.35">
      <c r="A15" t="s">
        <v>69</v>
      </c>
      <c r="B15" t="s">
        <v>70</v>
      </c>
      <c r="C15">
        <v>2025</v>
      </c>
      <c r="D15" t="s">
        <v>2</v>
      </c>
      <c r="E15" s="39" t="s">
        <v>62</v>
      </c>
      <c r="F15">
        <v>757</v>
      </c>
      <c r="G15" t="s">
        <v>4</v>
      </c>
      <c r="H15" s="8">
        <v>1.132E-2</v>
      </c>
      <c r="I15" s="14" t="s">
        <v>58</v>
      </c>
      <c r="J15">
        <f t="shared" si="0"/>
        <v>8.5692400000000006</v>
      </c>
      <c r="K15" t="b">
        <v>1</v>
      </c>
      <c r="L15">
        <v>1</v>
      </c>
      <c r="M15" t="s">
        <v>5</v>
      </c>
    </row>
    <row r="16" spans="1:17" ht="15.6" x14ac:dyDescent="0.35">
      <c r="A16" t="s">
        <v>69</v>
      </c>
      <c r="B16" t="s">
        <v>70</v>
      </c>
      <c r="C16">
        <v>2025</v>
      </c>
      <c r="D16" t="s">
        <v>2</v>
      </c>
      <c r="E16" s="26" t="s">
        <v>8</v>
      </c>
      <c r="F16">
        <v>6670</v>
      </c>
      <c r="G16" t="s">
        <v>4</v>
      </c>
      <c r="H16" s="19">
        <v>0</v>
      </c>
      <c r="I16" s="14" t="s">
        <v>58</v>
      </c>
      <c r="J16">
        <f t="shared" si="0"/>
        <v>0</v>
      </c>
      <c r="K16" t="b">
        <v>1</v>
      </c>
      <c r="L16">
        <v>1</v>
      </c>
      <c r="M16" t="s">
        <v>9</v>
      </c>
    </row>
    <row r="17" spans="1:16" ht="15.6" x14ac:dyDescent="0.35">
      <c r="A17" t="s">
        <v>69</v>
      </c>
      <c r="B17" t="s">
        <v>70</v>
      </c>
      <c r="C17">
        <v>2025</v>
      </c>
      <c r="D17" t="s">
        <v>2</v>
      </c>
      <c r="E17" s="40" t="s">
        <v>10</v>
      </c>
      <c r="F17">
        <v>7937</v>
      </c>
      <c r="G17" t="s">
        <v>4</v>
      </c>
      <c r="H17" s="15">
        <v>0.20705000000000001</v>
      </c>
      <c r="I17" s="14" t="s">
        <v>58</v>
      </c>
      <c r="J17">
        <f t="shared" si="0"/>
        <v>1643.3558500000001</v>
      </c>
      <c r="K17" t="b">
        <v>1</v>
      </c>
      <c r="L17">
        <v>1</v>
      </c>
      <c r="M17" t="s">
        <v>5</v>
      </c>
    </row>
    <row r="18" spans="1:16" ht="15.6" x14ac:dyDescent="0.35">
      <c r="A18" t="s">
        <v>69</v>
      </c>
      <c r="B18" t="s">
        <v>70</v>
      </c>
      <c r="C18">
        <v>2025</v>
      </c>
      <c r="D18" t="s">
        <v>2</v>
      </c>
      <c r="E18" s="26" t="s">
        <v>63</v>
      </c>
      <c r="F18">
        <v>1979</v>
      </c>
      <c r="G18" t="s">
        <v>4</v>
      </c>
      <c r="H18" s="20">
        <v>0</v>
      </c>
      <c r="I18" s="14" t="s">
        <v>58</v>
      </c>
      <c r="J18">
        <f t="shared" si="0"/>
        <v>0</v>
      </c>
      <c r="K18" t="b">
        <v>1</v>
      </c>
      <c r="L18">
        <v>1</v>
      </c>
      <c r="M18" t="s">
        <v>64</v>
      </c>
    </row>
    <row r="19" spans="1:16" ht="15.6" x14ac:dyDescent="0.35">
      <c r="A19" t="s">
        <v>69</v>
      </c>
      <c r="B19" t="s">
        <v>70</v>
      </c>
      <c r="C19">
        <v>2025</v>
      </c>
      <c r="D19" t="s">
        <v>2</v>
      </c>
      <c r="E19" s="39" t="s">
        <v>65</v>
      </c>
      <c r="F19">
        <v>141</v>
      </c>
      <c r="G19" t="s">
        <v>4</v>
      </c>
      <c r="H19" s="21">
        <v>0.20705000000000001</v>
      </c>
      <c r="I19" s="14" t="s">
        <v>58</v>
      </c>
      <c r="J19">
        <f t="shared" si="0"/>
        <v>29.194050000000001</v>
      </c>
      <c r="K19" t="b">
        <v>1</v>
      </c>
      <c r="L19">
        <v>1</v>
      </c>
      <c r="M19" t="s">
        <v>64</v>
      </c>
    </row>
    <row r="20" spans="1:16" ht="15.6" x14ac:dyDescent="0.35">
      <c r="A20" t="s">
        <v>69</v>
      </c>
      <c r="B20" t="s">
        <v>70</v>
      </c>
      <c r="C20">
        <v>2025</v>
      </c>
      <c r="D20" t="s">
        <v>2</v>
      </c>
      <c r="E20" s="40" t="s">
        <v>11</v>
      </c>
      <c r="F20">
        <v>290</v>
      </c>
      <c r="G20" t="s">
        <v>4</v>
      </c>
      <c r="H20" s="8">
        <v>0.20263999999999999</v>
      </c>
      <c r="I20" s="14" t="s">
        <v>58</v>
      </c>
      <c r="J20">
        <f t="shared" si="0"/>
        <v>58.765599999999999</v>
      </c>
      <c r="K20" t="b">
        <v>1</v>
      </c>
      <c r="L20">
        <v>1</v>
      </c>
      <c r="M20" t="s">
        <v>5</v>
      </c>
    </row>
    <row r="21" spans="1:16" ht="15.6" x14ac:dyDescent="0.35">
      <c r="A21" t="s">
        <v>69</v>
      </c>
      <c r="B21" t="s">
        <v>70</v>
      </c>
      <c r="C21">
        <v>2025</v>
      </c>
      <c r="D21" t="s">
        <v>2</v>
      </c>
      <c r="E21" s="40" t="s">
        <v>12</v>
      </c>
      <c r="F21">
        <v>582</v>
      </c>
      <c r="G21" t="s">
        <v>4</v>
      </c>
      <c r="H21" s="12">
        <v>0.17965</v>
      </c>
      <c r="I21" s="14" t="s">
        <v>58</v>
      </c>
      <c r="J21">
        <f t="shared" si="0"/>
        <v>104.55630000000001</v>
      </c>
      <c r="K21" t="b">
        <v>1</v>
      </c>
      <c r="L21">
        <v>1</v>
      </c>
      <c r="M21" t="s">
        <v>5</v>
      </c>
    </row>
    <row r="22" spans="1:16" ht="15.6" x14ac:dyDescent="0.35">
      <c r="A22" t="s">
        <v>69</v>
      </c>
      <c r="B22" t="s">
        <v>70</v>
      </c>
      <c r="C22">
        <v>2025</v>
      </c>
      <c r="D22" t="s">
        <v>2</v>
      </c>
      <c r="E22" s="46" t="s">
        <v>66</v>
      </c>
      <c r="F22">
        <v>527</v>
      </c>
      <c r="G22" t="s">
        <v>14</v>
      </c>
      <c r="H22" s="17">
        <v>0.15311</v>
      </c>
      <c r="I22" s="14" t="s">
        <v>58</v>
      </c>
      <c r="J22">
        <f t="shared" si="0"/>
        <v>80.688969999999998</v>
      </c>
      <c r="K22" t="b">
        <v>1</v>
      </c>
      <c r="L22">
        <v>1</v>
      </c>
      <c r="M22" t="s">
        <v>15</v>
      </c>
    </row>
    <row r="23" spans="1:16" ht="15.6" x14ac:dyDescent="0.35">
      <c r="A23" t="s">
        <v>69</v>
      </c>
      <c r="B23" t="s">
        <v>70</v>
      </c>
      <c r="C23">
        <v>2025</v>
      </c>
      <c r="D23" t="s">
        <v>2</v>
      </c>
      <c r="E23" s="46" t="s">
        <v>13</v>
      </c>
      <c r="F23">
        <v>415</v>
      </c>
      <c r="G23" t="s">
        <v>14</v>
      </c>
      <c r="H23" s="22">
        <v>0.34399999999999997</v>
      </c>
      <c r="I23" s="14" t="s">
        <v>58</v>
      </c>
      <c r="J23">
        <f t="shared" si="0"/>
        <v>142.76</v>
      </c>
      <c r="K23" t="b">
        <v>1</v>
      </c>
      <c r="L23">
        <v>1</v>
      </c>
      <c r="M23" t="s">
        <v>15</v>
      </c>
    </row>
    <row r="24" spans="1:16" ht="15.6" x14ac:dyDescent="0.35">
      <c r="A24" t="s">
        <v>69</v>
      </c>
      <c r="B24" t="s">
        <v>70</v>
      </c>
      <c r="C24">
        <v>2025</v>
      </c>
      <c r="D24" t="s">
        <v>2</v>
      </c>
      <c r="E24" s="46" t="s">
        <v>16</v>
      </c>
      <c r="F24">
        <v>435</v>
      </c>
      <c r="G24" t="s">
        <v>14</v>
      </c>
      <c r="H24" s="22">
        <v>0.54</v>
      </c>
      <c r="I24" s="14" t="s">
        <v>58</v>
      </c>
      <c r="J24">
        <f t="shared" si="0"/>
        <v>234.9</v>
      </c>
      <c r="K24" t="b">
        <v>0</v>
      </c>
      <c r="L24">
        <v>1</v>
      </c>
    </row>
    <row r="25" spans="1:16" ht="15.6" x14ac:dyDescent="0.35">
      <c r="A25" t="s">
        <v>69</v>
      </c>
      <c r="B25" t="s">
        <v>70</v>
      </c>
      <c r="C25">
        <v>2025</v>
      </c>
      <c r="D25" t="s">
        <v>2</v>
      </c>
      <c r="E25" s="47" t="s">
        <v>18</v>
      </c>
      <c r="F25">
        <v>765</v>
      </c>
      <c r="G25" t="s">
        <v>14</v>
      </c>
      <c r="H25" s="17">
        <v>0.15311</v>
      </c>
      <c r="I25" s="16" t="s">
        <v>58</v>
      </c>
      <c r="J25">
        <f t="shared" si="0"/>
        <v>117.12915</v>
      </c>
      <c r="K25" t="b">
        <v>1</v>
      </c>
      <c r="L25">
        <v>1</v>
      </c>
      <c r="M25" t="s">
        <v>5</v>
      </c>
    </row>
    <row r="26" spans="1:16" ht="15.6" x14ac:dyDescent="0.35">
      <c r="A26" t="s">
        <v>69</v>
      </c>
      <c r="B26" t="s">
        <v>70</v>
      </c>
      <c r="C26">
        <v>2025</v>
      </c>
      <c r="D26" t="s">
        <v>2</v>
      </c>
      <c r="E26" s="41" t="s">
        <v>19</v>
      </c>
      <c r="F26">
        <v>198</v>
      </c>
      <c r="G26" t="s">
        <v>14</v>
      </c>
      <c r="H26" s="22">
        <v>0</v>
      </c>
      <c r="I26" s="14" t="s">
        <v>58</v>
      </c>
      <c r="J26">
        <f t="shared" si="0"/>
        <v>0</v>
      </c>
      <c r="K26" t="b">
        <v>0</v>
      </c>
      <c r="L26">
        <v>0</v>
      </c>
      <c r="M26" t="s">
        <v>20</v>
      </c>
    </row>
    <row r="27" spans="1:16" ht="15.6" x14ac:dyDescent="0.35">
      <c r="A27" t="s">
        <v>69</v>
      </c>
      <c r="B27" t="s">
        <v>70</v>
      </c>
      <c r="C27">
        <v>2025</v>
      </c>
      <c r="D27" t="s">
        <v>2</v>
      </c>
      <c r="E27" s="46" t="s">
        <v>67</v>
      </c>
      <c r="F27">
        <v>411</v>
      </c>
      <c r="G27" t="s">
        <v>14</v>
      </c>
      <c r="H27" s="9">
        <v>0.18573999999999999</v>
      </c>
      <c r="I27" s="16" t="s">
        <v>58</v>
      </c>
      <c r="J27">
        <f t="shared" si="0"/>
        <v>76.33914</v>
      </c>
      <c r="K27" t="b">
        <v>1</v>
      </c>
      <c r="L27">
        <v>1</v>
      </c>
      <c r="M27" t="s">
        <v>68</v>
      </c>
    </row>
    <row r="28" spans="1:16" ht="15.6" x14ac:dyDescent="0.35">
      <c r="A28" t="s">
        <v>69</v>
      </c>
      <c r="B28" t="s">
        <v>70</v>
      </c>
      <c r="C28">
        <v>2025</v>
      </c>
      <c r="D28" t="s">
        <v>2</v>
      </c>
      <c r="E28" s="46" t="s">
        <v>21</v>
      </c>
      <c r="F28">
        <v>357</v>
      </c>
      <c r="G28" t="s">
        <v>14</v>
      </c>
      <c r="H28" s="9">
        <v>0.18573999999999999</v>
      </c>
      <c r="I28" s="16" t="s">
        <v>58</v>
      </c>
      <c r="J28">
        <f t="shared" si="0"/>
        <v>66.309179999999998</v>
      </c>
      <c r="K28" t="b">
        <v>1</v>
      </c>
      <c r="L28">
        <v>1</v>
      </c>
      <c r="M28" t="s">
        <v>15</v>
      </c>
    </row>
    <row r="29" spans="1:16" ht="15.6" x14ac:dyDescent="0.35">
      <c r="A29" t="s">
        <v>69</v>
      </c>
      <c r="B29" t="s">
        <v>70</v>
      </c>
      <c r="C29">
        <v>2025</v>
      </c>
      <c r="D29" t="s">
        <v>2</v>
      </c>
      <c r="E29" s="46" t="s">
        <v>22</v>
      </c>
      <c r="F29">
        <v>265</v>
      </c>
      <c r="G29" t="s">
        <v>14</v>
      </c>
      <c r="H29" s="9">
        <v>0.18573999999999999</v>
      </c>
      <c r="I29" s="16" t="s">
        <v>58</v>
      </c>
      <c r="J29">
        <f t="shared" si="0"/>
        <v>49.2211</v>
      </c>
      <c r="K29" t="b">
        <v>0</v>
      </c>
      <c r="L29">
        <v>0</v>
      </c>
      <c r="M29" t="s">
        <v>20</v>
      </c>
    </row>
    <row r="30" spans="1:16" ht="15.6" x14ac:dyDescent="0.35">
      <c r="A30" t="s">
        <v>69</v>
      </c>
      <c r="B30" t="s">
        <v>70</v>
      </c>
      <c r="C30">
        <v>2025</v>
      </c>
      <c r="D30" t="s">
        <v>2</v>
      </c>
      <c r="E30" s="46" t="s">
        <v>23</v>
      </c>
      <c r="F30">
        <v>609</v>
      </c>
      <c r="G30" t="s">
        <v>14</v>
      </c>
      <c r="H30" s="9">
        <v>0.18573999999999999</v>
      </c>
      <c r="I30" s="16" t="s">
        <v>58</v>
      </c>
      <c r="J30">
        <f t="shared" si="0"/>
        <v>113.11565999999999</v>
      </c>
      <c r="K30" t="b">
        <v>1</v>
      </c>
      <c r="L30">
        <v>1</v>
      </c>
      <c r="M30" t="s">
        <v>5</v>
      </c>
    </row>
    <row r="32" spans="1:16" ht="15.6" x14ac:dyDescent="0.35">
      <c r="A32" t="s">
        <v>69</v>
      </c>
      <c r="B32" t="s">
        <v>70</v>
      </c>
      <c r="C32">
        <v>2025</v>
      </c>
      <c r="D32" t="s">
        <v>46</v>
      </c>
      <c r="E32" t="s">
        <v>3</v>
      </c>
      <c r="F32">
        <v>3159</v>
      </c>
      <c r="G32" t="s">
        <v>4</v>
      </c>
      <c r="H32" s="15">
        <v>0.20263999999999999</v>
      </c>
      <c r="I32" s="14" t="s">
        <v>58</v>
      </c>
      <c r="J32">
        <f>(F32*H32)</f>
        <v>640.13975999999991</v>
      </c>
      <c r="K32" t="b">
        <v>1</v>
      </c>
      <c r="L32">
        <v>1</v>
      </c>
      <c r="M32" t="s">
        <v>5</v>
      </c>
      <c r="O32">
        <f>(J32+J33+J34+J35+J39+J42+J43+J44+J47+J48+J49+J50)</f>
        <v>1883.1281799999999</v>
      </c>
      <c r="P32">
        <f>(J37+J40+J41+J45)</f>
        <v>1263.06809</v>
      </c>
    </row>
    <row r="33" spans="1:13" ht="15.6" x14ac:dyDescent="0.35">
      <c r="A33" t="s">
        <v>69</v>
      </c>
      <c r="B33" t="s">
        <v>70</v>
      </c>
      <c r="C33">
        <v>2025</v>
      </c>
      <c r="D33" t="s">
        <v>46</v>
      </c>
      <c r="E33" t="s">
        <v>6</v>
      </c>
      <c r="F33">
        <v>1073</v>
      </c>
      <c r="G33" t="s">
        <v>4</v>
      </c>
      <c r="H33" s="15">
        <v>0.26807999999999998</v>
      </c>
      <c r="I33" s="14" t="s">
        <v>58</v>
      </c>
      <c r="J33">
        <f t="shared" ref="J33:J50" si="1">(F33*H33)</f>
        <v>287.64983999999998</v>
      </c>
      <c r="K33" t="b">
        <v>1</v>
      </c>
      <c r="L33">
        <v>1</v>
      </c>
      <c r="M33" t="s">
        <v>5</v>
      </c>
    </row>
    <row r="34" spans="1:13" ht="15.6" x14ac:dyDescent="0.35">
      <c r="A34" t="s">
        <v>69</v>
      </c>
      <c r="B34" t="s">
        <v>70</v>
      </c>
      <c r="C34">
        <v>2025</v>
      </c>
      <c r="D34" t="s">
        <v>46</v>
      </c>
      <c r="E34" t="s">
        <v>7</v>
      </c>
      <c r="F34">
        <v>772</v>
      </c>
      <c r="G34" t="s">
        <v>4</v>
      </c>
      <c r="H34" s="15">
        <v>0.23030999999999999</v>
      </c>
      <c r="I34" s="14" t="s">
        <v>58</v>
      </c>
      <c r="J34">
        <f t="shared" si="1"/>
        <v>177.79931999999999</v>
      </c>
      <c r="K34" t="b">
        <v>1</v>
      </c>
      <c r="L34">
        <v>1</v>
      </c>
      <c r="M34" t="s">
        <v>5</v>
      </c>
    </row>
    <row r="35" spans="1:13" ht="15.6" x14ac:dyDescent="0.35">
      <c r="A35" t="s">
        <v>69</v>
      </c>
      <c r="B35" t="s">
        <v>70</v>
      </c>
      <c r="C35">
        <v>2025</v>
      </c>
      <c r="D35" t="s">
        <v>46</v>
      </c>
      <c r="E35" t="s">
        <v>62</v>
      </c>
      <c r="F35">
        <v>664</v>
      </c>
      <c r="G35" t="s">
        <v>4</v>
      </c>
      <c r="H35" s="8">
        <v>1.132E-2</v>
      </c>
      <c r="I35" s="14" t="s">
        <v>58</v>
      </c>
      <c r="J35">
        <f t="shared" si="1"/>
        <v>7.5164800000000005</v>
      </c>
      <c r="K35" t="b">
        <v>1</v>
      </c>
      <c r="L35">
        <v>1</v>
      </c>
      <c r="M35" t="s">
        <v>5</v>
      </c>
    </row>
    <row r="36" spans="1:13" ht="15.6" x14ac:dyDescent="0.35">
      <c r="A36" t="s">
        <v>69</v>
      </c>
      <c r="B36" t="s">
        <v>70</v>
      </c>
      <c r="C36">
        <v>2025</v>
      </c>
      <c r="D36" t="s">
        <v>46</v>
      </c>
      <c r="E36" t="s">
        <v>8</v>
      </c>
      <c r="F36">
        <v>3842</v>
      </c>
      <c r="G36" t="s">
        <v>4</v>
      </c>
      <c r="H36" s="19">
        <v>0</v>
      </c>
      <c r="I36" s="14" t="s">
        <v>58</v>
      </c>
      <c r="J36">
        <f t="shared" si="1"/>
        <v>0</v>
      </c>
      <c r="K36" t="b">
        <v>1</v>
      </c>
      <c r="L36">
        <v>1</v>
      </c>
      <c r="M36" t="s">
        <v>9</v>
      </c>
    </row>
    <row r="37" spans="1:13" ht="15.6" x14ac:dyDescent="0.35">
      <c r="A37" t="s">
        <v>69</v>
      </c>
      <c r="B37" t="s">
        <v>70</v>
      </c>
      <c r="C37">
        <v>2025</v>
      </c>
      <c r="D37" t="s">
        <v>46</v>
      </c>
      <c r="E37" t="s">
        <v>10</v>
      </c>
      <c r="F37">
        <v>4813</v>
      </c>
      <c r="G37" t="s">
        <v>4</v>
      </c>
      <c r="H37" s="15">
        <v>0.20705000000000001</v>
      </c>
      <c r="I37" s="14" t="s">
        <v>58</v>
      </c>
      <c r="J37">
        <f t="shared" si="1"/>
        <v>996.53165000000001</v>
      </c>
      <c r="K37" t="b">
        <v>1</v>
      </c>
      <c r="L37">
        <v>1</v>
      </c>
      <c r="M37" t="s">
        <v>5</v>
      </c>
    </row>
    <row r="38" spans="1:13" ht="15.6" x14ac:dyDescent="0.35">
      <c r="A38" t="s">
        <v>69</v>
      </c>
      <c r="B38" t="s">
        <v>70</v>
      </c>
      <c r="C38">
        <v>2025</v>
      </c>
      <c r="D38" t="s">
        <v>46</v>
      </c>
      <c r="E38" t="s">
        <v>63</v>
      </c>
      <c r="F38">
        <v>369</v>
      </c>
      <c r="G38" t="s">
        <v>4</v>
      </c>
      <c r="H38" s="20">
        <v>0</v>
      </c>
      <c r="I38" s="14" t="s">
        <v>58</v>
      </c>
      <c r="J38">
        <f t="shared" si="1"/>
        <v>0</v>
      </c>
      <c r="K38" t="b">
        <v>1</v>
      </c>
      <c r="L38">
        <v>1</v>
      </c>
      <c r="M38" t="s">
        <v>64</v>
      </c>
    </row>
    <row r="39" spans="1:13" ht="15.6" x14ac:dyDescent="0.35">
      <c r="A39" t="s">
        <v>69</v>
      </c>
      <c r="B39" t="s">
        <v>70</v>
      </c>
      <c r="C39">
        <v>2025</v>
      </c>
      <c r="D39" t="s">
        <v>46</v>
      </c>
      <c r="E39" t="s">
        <v>65</v>
      </c>
      <c r="F39">
        <v>15</v>
      </c>
      <c r="G39" t="s">
        <v>4</v>
      </c>
      <c r="H39" s="21">
        <v>0.20705000000000001</v>
      </c>
      <c r="I39" s="14" t="s">
        <v>58</v>
      </c>
      <c r="J39">
        <f t="shared" si="1"/>
        <v>3.10575</v>
      </c>
      <c r="K39" t="b">
        <v>1</v>
      </c>
      <c r="L39">
        <v>1</v>
      </c>
      <c r="M39" t="s">
        <v>64</v>
      </c>
    </row>
    <row r="40" spans="1:13" ht="15.6" x14ac:dyDescent="0.35">
      <c r="A40" t="s">
        <v>69</v>
      </c>
      <c r="B40" t="s">
        <v>70</v>
      </c>
      <c r="C40">
        <v>2025</v>
      </c>
      <c r="D40" t="s">
        <v>46</v>
      </c>
      <c r="E40" t="s">
        <v>11</v>
      </c>
      <c r="F40">
        <v>294</v>
      </c>
      <c r="G40" t="s">
        <v>4</v>
      </c>
      <c r="H40" s="8">
        <v>0.20263999999999999</v>
      </c>
      <c r="I40" s="14" t="s">
        <v>58</v>
      </c>
      <c r="J40">
        <f t="shared" si="1"/>
        <v>59.576159999999994</v>
      </c>
      <c r="K40" t="b">
        <v>1</v>
      </c>
      <c r="L40">
        <v>1</v>
      </c>
      <c r="M40" t="s">
        <v>5</v>
      </c>
    </row>
    <row r="41" spans="1:13" ht="15.6" x14ac:dyDescent="0.35">
      <c r="A41" t="s">
        <v>69</v>
      </c>
      <c r="B41" t="s">
        <v>70</v>
      </c>
      <c r="C41">
        <v>2025</v>
      </c>
      <c r="D41" t="s">
        <v>46</v>
      </c>
      <c r="E41" t="s">
        <v>12</v>
      </c>
      <c r="F41">
        <v>506</v>
      </c>
      <c r="G41" t="s">
        <v>4</v>
      </c>
      <c r="H41" s="12">
        <v>0.17965</v>
      </c>
      <c r="I41" s="14" t="s">
        <v>58</v>
      </c>
      <c r="J41">
        <f t="shared" si="1"/>
        <v>90.902900000000002</v>
      </c>
      <c r="K41" t="b">
        <v>1</v>
      </c>
      <c r="L41">
        <v>1</v>
      </c>
      <c r="M41" t="s">
        <v>5</v>
      </c>
    </row>
    <row r="42" spans="1:13" ht="15.6" x14ac:dyDescent="0.35">
      <c r="A42" t="s">
        <v>69</v>
      </c>
      <c r="B42" t="s">
        <v>70</v>
      </c>
      <c r="C42">
        <v>2025</v>
      </c>
      <c r="D42" t="s">
        <v>46</v>
      </c>
      <c r="E42" s="1" t="s">
        <v>66</v>
      </c>
      <c r="F42">
        <v>511</v>
      </c>
      <c r="G42" t="s">
        <v>14</v>
      </c>
      <c r="H42" s="17">
        <v>0.15311</v>
      </c>
      <c r="I42" s="14" t="s">
        <v>58</v>
      </c>
      <c r="J42">
        <f t="shared" si="1"/>
        <v>78.23921</v>
      </c>
      <c r="K42" t="b">
        <v>1</v>
      </c>
      <c r="L42">
        <v>1</v>
      </c>
      <c r="M42" t="s">
        <v>15</v>
      </c>
    </row>
    <row r="43" spans="1:13" ht="15.6" x14ac:dyDescent="0.35">
      <c r="A43" t="s">
        <v>69</v>
      </c>
      <c r="B43" t="s">
        <v>70</v>
      </c>
      <c r="C43">
        <v>2025</v>
      </c>
      <c r="D43" t="s">
        <v>46</v>
      </c>
      <c r="E43" s="1" t="s">
        <v>13</v>
      </c>
      <c r="F43">
        <v>405</v>
      </c>
      <c r="G43" t="s">
        <v>14</v>
      </c>
      <c r="H43" s="22">
        <v>0.34399999999999997</v>
      </c>
      <c r="I43" s="14" t="s">
        <v>58</v>
      </c>
      <c r="J43">
        <f t="shared" si="1"/>
        <v>139.32</v>
      </c>
      <c r="K43" t="b">
        <v>1</v>
      </c>
      <c r="L43">
        <v>1</v>
      </c>
      <c r="M43" t="s">
        <v>15</v>
      </c>
    </row>
    <row r="44" spans="1:13" ht="15.6" x14ac:dyDescent="0.35">
      <c r="A44" t="s">
        <v>69</v>
      </c>
      <c r="B44" t="s">
        <v>70</v>
      </c>
      <c r="C44">
        <v>2025</v>
      </c>
      <c r="D44" t="s">
        <v>46</v>
      </c>
      <c r="E44" s="1" t="s">
        <v>16</v>
      </c>
      <c r="F44">
        <v>435</v>
      </c>
      <c r="G44" t="s">
        <v>14</v>
      </c>
      <c r="H44" s="22">
        <v>0.54</v>
      </c>
      <c r="I44" s="14" t="s">
        <v>58</v>
      </c>
      <c r="J44">
        <f t="shared" si="1"/>
        <v>234.9</v>
      </c>
      <c r="K44" t="b">
        <v>0</v>
      </c>
      <c r="L44">
        <v>1</v>
      </c>
    </row>
    <row r="45" spans="1:13" ht="15.6" x14ac:dyDescent="0.35">
      <c r="A45" t="s">
        <v>69</v>
      </c>
      <c r="B45" t="s">
        <v>70</v>
      </c>
      <c r="C45">
        <v>2025</v>
      </c>
      <c r="D45" t="s">
        <v>46</v>
      </c>
      <c r="E45" s="1" t="s">
        <v>18</v>
      </c>
      <c r="F45">
        <v>758</v>
      </c>
      <c r="G45" t="s">
        <v>14</v>
      </c>
      <c r="H45" s="17">
        <v>0.15311</v>
      </c>
      <c r="I45" s="16" t="s">
        <v>58</v>
      </c>
      <c r="J45">
        <f t="shared" si="1"/>
        <v>116.05737999999999</v>
      </c>
      <c r="K45" t="b">
        <v>1</v>
      </c>
      <c r="L45">
        <v>1</v>
      </c>
      <c r="M45" t="s">
        <v>5</v>
      </c>
    </row>
    <row r="46" spans="1:13" ht="15.6" x14ac:dyDescent="0.35">
      <c r="A46" t="s">
        <v>69</v>
      </c>
      <c r="B46" t="s">
        <v>70</v>
      </c>
      <c r="C46">
        <v>2025</v>
      </c>
      <c r="D46" t="s">
        <v>46</v>
      </c>
      <c r="E46" s="1" t="s">
        <v>19</v>
      </c>
      <c r="F46">
        <v>167</v>
      </c>
      <c r="G46" t="s">
        <v>14</v>
      </c>
      <c r="H46" s="22">
        <v>0</v>
      </c>
      <c r="I46" s="14" t="s">
        <v>58</v>
      </c>
      <c r="J46">
        <f t="shared" si="1"/>
        <v>0</v>
      </c>
      <c r="K46" t="b">
        <v>0</v>
      </c>
      <c r="L46">
        <v>0</v>
      </c>
      <c r="M46" t="s">
        <v>20</v>
      </c>
    </row>
    <row r="47" spans="1:13" ht="15.6" x14ac:dyDescent="0.35">
      <c r="A47" t="s">
        <v>69</v>
      </c>
      <c r="B47" t="s">
        <v>70</v>
      </c>
      <c r="C47">
        <v>2025</v>
      </c>
      <c r="D47" t="s">
        <v>46</v>
      </c>
      <c r="E47" s="1" t="s">
        <v>67</v>
      </c>
      <c r="F47">
        <v>496</v>
      </c>
      <c r="G47" t="s">
        <v>14</v>
      </c>
      <c r="H47" s="9">
        <v>0.18573999999999999</v>
      </c>
      <c r="I47" s="16" t="s">
        <v>58</v>
      </c>
      <c r="J47">
        <f t="shared" si="1"/>
        <v>92.127039999999994</v>
      </c>
      <c r="K47" t="b">
        <v>1</v>
      </c>
      <c r="L47">
        <v>1</v>
      </c>
      <c r="M47" t="s">
        <v>68</v>
      </c>
    </row>
    <row r="48" spans="1:13" ht="15.6" x14ac:dyDescent="0.35">
      <c r="A48" t="s">
        <v>69</v>
      </c>
      <c r="B48" t="s">
        <v>70</v>
      </c>
      <c r="C48">
        <v>2025</v>
      </c>
      <c r="D48" t="s">
        <v>46</v>
      </c>
      <c r="E48" s="1" t="s">
        <v>21</v>
      </c>
      <c r="F48">
        <v>338</v>
      </c>
      <c r="G48" t="s">
        <v>14</v>
      </c>
      <c r="H48" s="9">
        <v>0.18573999999999999</v>
      </c>
      <c r="I48" s="16" t="s">
        <v>58</v>
      </c>
      <c r="J48">
        <f t="shared" si="1"/>
        <v>62.780119999999997</v>
      </c>
      <c r="K48" t="b">
        <v>1</v>
      </c>
      <c r="L48">
        <v>1</v>
      </c>
      <c r="M48" t="s">
        <v>15</v>
      </c>
    </row>
    <row r="49" spans="1:16" ht="15.6" x14ac:dyDescent="0.35">
      <c r="A49" t="s">
        <v>69</v>
      </c>
      <c r="B49" t="s">
        <v>70</v>
      </c>
      <c r="C49">
        <v>2025</v>
      </c>
      <c r="D49" t="s">
        <v>46</v>
      </c>
      <c r="E49" s="1" t="s">
        <v>22</v>
      </c>
      <c r="F49">
        <v>275</v>
      </c>
      <c r="G49" t="s">
        <v>14</v>
      </c>
      <c r="H49" s="9">
        <v>0.18573999999999999</v>
      </c>
      <c r="I49" s="16" t="s">
        <v>58</v>
      </c>
      <c r="J49">
        <f t="shared" si="1"/>
        <v>51.078499999999998</v>
      </c>
      <c r="K49" t="b">
        <v>0</v>
      </c>
      <c r="L49">
        <v>0</v>
      </c>
      <c r="M49" t="s">
        <v>20</v>
      </c>
    </row>
    <row r="50" spans="1:16" ht="15.6" x14ac:dyDescent="0.35">
      <c r="A50" t="s">
        <v>69</v>
      </c>
      <c r="B50" t="s">
        <v>70</v>
      </c>
      <c r="C50">
        <v>2025</v>
      </c>
      <c r="D50" t="s">
        <v>46</v>
      </c>
      <c r="E50" s="1" t="s">
        <v>23</v>
      </c>
      <c r="F50">
        <v>584</v>
      </c>
      <c r="G50" t="s">
        <v>14</v>
      </c>
      <c r="H50" s="9">
        <v>0.18573999999999999</v>
      </c>
      <c r="I50" s="16" t="s">
        <v>58</v>
      </c>
      <c r="J50">
        <f t="shared" si="1"/>
        <v>108.47215999999999</v>
      </c>
      <c r="K50" t="b">
        <v>1</v>
      </c>
      <c r="L50">
        <v>1</v>
      </c>
      <c r="M50" t="s">
        <v>5</v>
      </c>
    </row>
    <row r="52" spans="1:16" ht="15.6" x14ac:dyDescent="0.35">
      <c r="A52" t="s">
        <v>69</v>
      </c>
      <c r="B52" t="s">
        <v>70</v>
      </c>
      <c r="C52">
        <v>2025</v>
      </c>
      <c r="D52" t="s">
        <v>47</v>
      </c>
      <c r="E52" t="s">
        <v>3</v>
      </c>
      <c r="F52">
        <v>2569</v>
      </c>
      <c r="G52" t="s">
        <v>4</v>
      </c>
      <c r="H52" s="15">
        <v>0.20263999999999999</v>
      </c>
      <c r="I52" s="14" t="s">
        <v>58</v>
      </c>
      <c r="J52">
        <f>(F52*H52)</f>
        <v>520.58215999999993</v>
      </c>
      <c r="K52" t="b">
        <v>1</v>
      </c>
      <c r="L52">
        <v>1</v>
      </c>
      <c r="M52" t="s">
        <v>5</v>
      </c>
      <c r="O52">
        <f>(J52+J53+J54+J55+J59+J62+J63+J64+J67+J68+J69+J70)</f>
        <v>1653.76367</v>
      </c>
      <c r="P52">
        <f>(J57+J60+J61+J65)</f>
        <v>724.02236000000005</v>
      </c>
    </row>
    <row r="53" spans="1:16" ht="15.6" x14ac:dyDescent="0.35">
      <c r="A53" t="s">
        <v>69</v>
      </c>
      <c r="B53" t="s">
        <v>70</v>
      </c>
      <c r="C53">
        <v>2025</v>
      </c>
      <c r="D53" t="s">
        <v>47</v>
      </c>
      <c r="E53" t="s">
        <v>6</v>
      </c>
      <c r="F53">
        <v>882</v>
      </c>
      <c r="G53" t="s">
        <v>4</v>
      </c>
      <c r="H53" s="15">
        <v>0.26807999999999998</v>
      </c>
      <c r="I53" s="14" t="s">
        <v>58</v>
      </c>
      <c r="J53">
        <f t="shared" ref="J53:J70" si="2">(F53*H53)</f>
        <v>236.44655999999998</v>
      </c>
      <c r="K53" t="b">
        <v>1</v>
      </c>
      <c r="L53">
        <v>1</v>
      </c>
      <c r="M53" t="s">
        <v>5</v>
      </c>
    </row>
    <row r="54" spans="1:16" ht="15.6" x14ac:dyDescent="0.35">
      <c r="A54" t="s">
        <v>69</v>
      </c>
      <c r="B54" t="s">
        <v>70</v>
      </c>
      <c r="C54">
        <v>2025</v>
      </c>
      <c r="D54" t="s">
        <v>47</v>
      </c>
      <c r="E54" t="s">
        <v>7</v>
      </c>
      <c r="F54">
        <v>317</v>
      </c>
      <c r="G54" t="s">
        <v>4</v>
      </c>
      <c r="H54" s="15">
        <v>0.23030999999999999</v>
      </c>
      <c r="I54" s="14" t="s">
        <v>58</v>
      </c>
      <c r="J54">
        <f t="shared" si="2"/>
        <v>73.008269999999996</v>
      </c>
      <c r="K54" t="b">
        <v>1</v>
      </c>
      <c r="L54">
        <v>1</v>
      </c>
      <c r="M54" t="s">
        <v>5</v>
      </c>
    </row>
    <row r="55" spans="1:16" ht="15.6" x14ac:dyDescent="0.35">
      <c r="A55" t="s">
        <v>69</v>
      </c>
      <c r="B55" t="s">
        <v>70</v>
      </c>
      <c r="C55">
        <v>2025</v>
      </c>
      <c r="D55" t="s">
        <v>47</v>
      </c>
      <c r="E55" t="s">
        <v>62</v>
      </c>
      <c r="F55">
        <v>802</v>
      </c>
      <c r="G55" t="s">
        <v>4</v>
      </c>
      <c r="H55" s="8">
        <v>1.132E-2</v>
      </c>
      <c r="I55" s="14" t="s">
        <v>58</v>
      </c>
      <c r="J55">
        <f t="shared" si="2"/>
        <v>9.07864</v>
      </c>
      <c r="K55" t="b">
        <v>1</v>
      </c>
      <c r="L55">
        <v>1</v>
      </c>
      <c r="M55" t="s">
        <v>5</v>
      </c>
    </row>
    <row r="56" spans="1:16" ht="15.6" x14ac:dyDescent="0.35">
      <c r="A56" t="s">
        <v>69</v>
      </c>
      <c r="B56" t="s">
        <v>70</v>
      </c>
      <c r="C56">
        <v>2025</v>
      </c>
      <c r="D56" t="s">
        <v>47</v>
      </c>
      <c r="E56" t="s">
        <v>8</v>
      </c>
      <c r="F56">
        <v>2525</v>
      </c>
      <c r="G56" t="s">
        <v>4</v>
      </c>
      <c r="H56" s="19">
        <v>0</v>
      </c>
      <c r="I56" s="14" t="s">
        <v>58</v>
      </c>
      <c r="J56">
        <f t="shared" si="2"/>
        <v>0</v>
      </c>
      <c r="K56" t="b">
        <v>1</v>
      </c>
      <c r="L56">
        <v>1</v>
      </c>
      <c r="M56" t="s">
        <v>9</v>
      </c>
    </row>
    <row r="57" spans="1:16" ht="15.6" x14ac:dyDescent="0.35">
      <c r="A57" t="s">
        <v>69</v>
      </c>
      <c r="B57" t="s">
        <v>70</v>
      </c>
      <c r="C57">
        <v>2025</v>
      </c>
      <c r="D57" t="s">
        <v>47</v>
      </c>
      <c r="E57" t="s">
        <v>10</v>
      </c>
      <c r="F57">
        <v>2287</v>
      </c>
      <c r="G57" t="s">
        <v>4</v>
      </c>
      <c r="H57" s="15">
        <v>0.20705000000000001</v>
      </c>
      <c r="I57" s="14" t="s">
        <v>58</v>
      </c>
      <c r="J57">
        <f t="shared" si="2"/>
        <v>473.52335000000005</v>
      </c>
      <c r="K57" t="b">
        <v>1</v>
      </c>
      <c r="L57">
        <v>1</v>
      </c>
      <c r="M57" t="s">
        <v>5</v>
      </c>
    </row>
    <row r="58" spans="1:16" ht="15.6" x14ac:dyDescent="0.35">
      <c r="A58" t="s">
        <v>69</v>
      </c>
      <c r="B58" t="s">
        <v>70</v>
      </c>
      <c r="C58">
        <v>2025</v>
      </c>
      <c r="D58" t="s">
        <v>47</v>
      </c>
      <c r="E58" t="s">
        <v>63</v>
      </c>
      <c r="F58">
        <v>661</v>
      </c>
      <c r="G58" t="s">
        <v>4</v>
      </c>
      <c r="H58" s="20">
        <v>0</v>
      </c>
      <c r="I58" s="14" t="s">
        <v>58</v>
      </c>
      <c r="J58">
        <f t="shared" si="2"/>
        <v>0</v>
      </c>
      <c r="K58" t="b">
        <v>1</v>
      </c>
      <c r="L58">
        <v>1</v>
      </c>
      <c r="M58" t="s">
        <v>64</v>
      </c>
    </row>
    <row r="59" spans="1:16" ht="15.6" x14ac:dyDescent="0.35">
      <c r="A59" t="s">
        <v>69</v>
      </c>
      <c r="B59" t="s">
        <v>70</v>
      </c>
      <c r="C59">
        <v>2025</v>
      </c>
      <c r="D59" t="s">
        <v>47</v>
      </c>
      <c r="E59" t="s">
        <v>65</v>
      </c>
      <c r="F59">
        <v>108</v>
      </c>
      <c r="G59" t="s">
        <v>4</v>
      </c>
      <c r="H59" s="21">
        <v>0.20705000000000001</v>
      </c>
      <c r="I59" s="14" t="s">
        <v>58</v>
      </c>
      <c r="J59">
        <f t="shared" si="2"/>
        <v>22.3614</v>
      </c>
      <c r="K59" t="b">
        <v>1</v>
      </c>
      <c r="L59">
        <v>1</v>
      </c>
      <c r="M59" t="s">
        <v>64</v>
      </c>
    </row>
    <row r="60" spans="1:16" ht="15.6" x14ac:dyDescent="0.35">
      <c r="A60" t="s">
        <v>69</v>
      </c>
      <c r="B60" t="s">
        <v>70</v>
      </c>
      <c r="C60">
        <v>2025</v>
      </c>
      <c r="D60" t="s">
        <v>47</v>
      </c>
      <c r="E60" t="s">
        <v>11</v>
      </c>
      <c r="F60">
        <v>203</v>
      </c>
      <c r="G60" t="s">
        <v>4</v>
      </c>
      <c r="H60" s="8">
        <v>0.20263999999999999</v>
      </c>
      <c r="I60" s="14" t="s">
        <v>58</v>
      </c>
      <c r="J60">
        <f t="shared" si="2"/>
        <v>41.135919999999999</v>
      </c>
      <c r="K60" t="b">
        <v>1</v>
      </c>
      <c r="L60">
        <v>1</v>
      </c>
      <c r="M60" t="s">
        <v>5</v>
      </c>
    </row>
    <row r="61" spans="1:16" ht="15.6" x14ac:dyDescent="0.35">
      <c r="A61" t="s">
        <v>69</v>
      </c>
      <c r="B61" t="s">
        <v>70</v>
      </c>
      <c r="C61">
        <v>2025</v>
      </c>
      <c r="D61" t="s">
        <v>47</v>
      </c>
      <c r="E61" t="s">
        <v>12</v>
      </c>
      <c r="F61">
        <v>510</v>
      </c>
      <c r="G61" t="s">
        <v>4</v>
      </c>
      <c r="H61" s="12">
        <v>0.17965</v>
      </c>
      <c r="I61" s="14" t="s">
        <v>58</v>
      </c>
      <c r="J61">
        <f t="shared" si="2"/>
        <v>91.621499999999997</v>
      </c>
      <c r="K61" t="b">
        <v>1</v>
      </c>
      <c r="L61">
        <v>1</v>
      </c>
      <c r="M61" t="s">
        <v>5</v>
      </c>
    </row>
    <row r="62" spans="1:16" ht="15.6" x14ac:dyDescent="0.35">
      <c r="A62" t="s">
        <v>69</v>
      </c>
      <c r="B62" t="s">
        <v>70</v>
      </c>
      <c r="C62">
        <v>2025</v>
      </c>
      <c r="D62" t="s">
        <v>47</v>
      </c>
      <c r="E62" s="1" t="s">
        <v>66</v>
      </c>
      <c r="F62">
        <v>574</v>
      </c>
      <c r="G62" t="s">
        <v>14</v>
      </c>
      <c r="H62" s="17">
        <v>0.15311</v>
      </c>
      <c r="I62" s="14" t="s">
        <v>58</v>
      </c>
      <c r="J62">
        <f t="shared" si="2"/>
        <v>87.885139999999993</v>
      </c>
      <c r="K62" t="b">
        <v>1</v>
      </c>
      <c r="L62">
        <v>1</v>
      </c>
      <c r="M62" t="s">
        <v>15</v>
      </c>
    </row>
    <row r="63" spans="1:16" ht="15.6" x14ac:dyDescent="0.35">
      <c r="A63" t="s">
        <v>69</v>
      </c>
      <c r="B63" t="s">
        <v>70</v>
      </c>
      <c r="C63">
        <v>2025</v>
      </c>
      <c r="D63" t="s">
        <v>47</v>
      </c>
      <c r="E63" s="1" t="s">
        <v>13</v>
      </c>
      <c r="F63">
        <v>435</v>
      </c>
      <c r="G63" t="s">
        <v>14</v>
      </c>
      <c r="H63" s="22">
        <v>0.34399999999999997</v>
      </c>
      <c r="I63" s="14" t="s">
        <v>58</v>
      </c>
      <c r="J63">
        <f t="shared" si="2"/>
        <v>149.63999999999999</v>
      </c>
      <c r="K63" t="b">
        <v>1</v>
      </c>
      <c r="L63">
        <v>1</v>
      </c>
      <c r="M63" t="s">
        <v>15</v>
      </c>
    </row>
    <row r="64" spans="1:16" ht="15.6" x14ac:dyDescent="0.35">
      <c r="A64" t="s">
        <v>69</v>
      </c>
      <c r="B64" t="s">
        <v>70</v>
      </c>
      <c r="C64">
        <v>2025</v>
      </c>
      <c r="D64" t="s">
        <v>47</v>
      </c>
      <c r="E64" s="1" t="s">
        <v>16</v>
      </c>
      <c r="F64">
        <v>434</v>
      </c>
      <c r="G64" t="s">
        <v>14</v>
      </c>
      <c r="H64" s="22">
        <v>0.54</v>
      </c>
      <c r="I64" s="14" t="s">
        <v>58</v>
      </c>
      <c r="J64">
        <f t="shared" si="2"/>
        <v>234.36</v>
      </c>
      <c r="K64" t="b">
        <v>0</v>
      </c>
      <c r="L64">
        <v>1</v>
      </c>
    </row>
    <row r="65" spans="1:16" ht="15.6" x14ac:dyDescent="0.35">
      <c r="A65" t="s">
        <v>69</v>
      </c>
      <c r="B65" t="s">
        <v>70</v>
      </c>
      <c r="C65">
        <v>2025</v>
      </c>
      <c r="D65" t="s">
        <v>47</v>
      </c>
      <c r="E65" s="1" t="s">
        <v>18</v>
      </c>
      <c r="F65">
        <v>769</v>
      </c>
      <c r="G65" t="s">
        <v>14</v>
      </c>
      <c r="H65" s="17">
        <v>0.15311</v>
      </c>
      <c r="I65" s="16" t="s">
        <v>58</v>
      </c>
      <c r="J65">
        <f t="shared" si="2"/>
        <v>117.74159</v>
      </c>
      <c r="K65" t="b">
        <v>1</v>
      </c>
      <c r="L65">
        <v>1</v>
      </c>
      <c r="M65" t="s">
        <v>5</v>
      </c>
    </row>
    <row r="66" spans="1:16" ht="15.6" x14ac:dyDescent="0.35">
      <c r="A66" t="s">
        <v>69</v>
      </c>
      <c r="B66" t="s">
        <v>70</v>
      </c>
      <c r="C66">
        <v>2025</v>
      </c>
      <c r="D66" t="s">
        <v>47</v>
      </c>
      <c r="E66" s="1" t="s">
        <v>19</v>
      </c>
      <c r="F66">
        <v>104</v>
      </c>
      <c r="G66" t="s">
        <v>14</v>
      </c>
      <c r="H66" s="22">
        <v>0</v>
      </c>
      <c r="I66" s="14" t="s">
        <v>58</v>
      </c>
      <c r="J66">
        <f t="shared" si="2"/>
        <v>0</v>
      </c>
      <c r="K66" t="b">
        <v>0</v>
      </c>
      <c r="L66">
        <v>0</v>
      </c>
      <c r="M66" t="s">
        <v>20</v>
      </c>
    </row>
    <row r="67" spans="1:16" ht="15.6" x14ac:dyDescent="0.35">
      <c r="A67" t="s">
        <v>69</v>
      </c>
      <c r="B67" t="s">
        <v>70</v>
      </c>
      <c r="C67">
        <v>2025</v>
      </c>
      <c r="D67" t="s">
        <v>47</v>
      </c>
      <c r="E67" s="1" t="s">
        <v>67</v>
      </c>
      <c r="F67">
        <v>474</v>
      </c>
      <c r="G67" t="s">
        <v>14</v>
      </c>
      <c r="H67" s="9">
        <v>0.18573999999999999</v>
      </c>
      <c r="I67" s="16" t="s">
        <v>58</v>
      </c>
      <c r="J67">
        <f t="shared" si="2"/>
        <v>88.040759999999992</v>
      </c>
      <c r="K67" t="b">
        <v>1</v>
      </c>
      <c r="L67">
        <v>1</v>
      </c>
      <c r="M67" t="s">
        <v>68</v>
      </c>
    </row>
    <row r="68" spans="1:16" ht="15.6" x14ac:dyDescent="0.35">
      <c r="A68" t="s">
        <v>69</v>
      </c>
      <c r="B68" t="s">
        <v>70</v>
      </c>
      <c r="C68">
        <v>2025</v>
      </c>
      <c r="D68" t="s">
        <v>47</v>
      </c>
      <c r="E68" s="1" t="s">
        <v>21</v>
      </c>
      <c r="F68">
        <v>347</v>
      </c>
      <c r="G68" t="s">
        <v>14</v>
      </c>
      <c r="H68" s="9">
        <v>0.18573999999999999</v>
      </c>
      <c r="I68" s="16" t="s">
        <v>58</v>
      </c>
      <c r="J68">
        <f t="shared" si="2"/>
        <v>64.451779999999999</v>
      </c>
      <c r="K68" t="b">
        <v>1</v>
      </c>
      <c r="L68">
        <v>1</v>
      </c>
      <c r="M68" t="s">
        <v>15</v>
      </c>
    </row>
    <row r="69" spans="1:16" ht="15.6" x14ac:dyDescent="0.35">
      <c r="A69" t="s">
        <v>69</v>
      </c>
      <c r="B69" t="s">
        <v>70</v>
      </c>
      <c r="C69">
        <v>2025</v>
      </c>
      <c r="D69" t="s">
        <v>47</v>
      </c>
      <c r="E69" s="1" t="s">
        <v>22</v>
      </c>
      <c r="F69">
        <v>276</v>
      </c>
      <c r="G69" t="s">
        <v>14</v>
      </c>
      <c r="H69" s="9">
        <v>0.18573999999999999</v>
      </c>
      <c r="I69" s="16" t="s">
        <v>58</v>
      </c>
      <c r="J69">
        <f t="shared" si="2"/>
        <v>51.264239999999994</v>
      </c>
      <c r="K69" t="b">
        <v>0</v>
      </c>
      <c r="L69">
        <v>0</v>
      </c>
      <c r="M69" t="s">
        <v>20</v>
      </c>
    </row>
    <row r="70" spans="1:16" ht="15.6" x14ac:dyDescent="0.35">
      <c r="A70" t="s">
        <v>69</v>
      </c>
      <c r="B70" t="s">
        <v>70</v>
      </c>
      <c r="C70">
        <v>2025</v>
      </c>
      <c r="D70" t="s">
        <v>47</v>
      </c>
      <c r="E70" s="1" t="s">
        <v>23</v>
      </c>
      <c r="F70">
        <v>628</v>
      </c>
      <c r="G70" t="s">
        <v>14</v>
      </c>
      <c r="H70" s="9">
        <v>0.18573999999999999</v>
      </c>
      <c r="I70" s="16" t="s">
        <v>58</v>
      </c>
      <c r="J70">
        <f t="shared" si="2"/>
        <v>116.64471999999999</v>
      </c>
      <c r="K70" t="b">
        <v>1</v>
      </c>
      <c r="L70">
        <v>1</v>
      </c>
      <c r="M70" t="s">
        <v>5</v>
      </c>
    </row>
    <row r="72" spans="1:16" ht="15.6" x14ac:dyDescent="0.35">
      <c r="A72" t="s">
        <v>69</v>
      </c>
      <c r="B72" t="s">
        <v>70</v>
      </c>
      <c r="C72">
        <v>2025</v>
      </c>
      <c r="D72" t="s">
        <v>48</v>
      </c>
      <c r="E72" t="s">
        <v>3</v>
      </c>
      <c r="F72">
        <v>2810</v>
      </c>
      <c r="G72" t="s">
        <v>4</v>
      </c>
      <c r="H72" s="15">
        <v>0.20263999999999999</v>
      </c>
      <c r="I72" s="14" t="s">
        <v>58</v>
      </c>
      <c r="J72">
        <f>(F72*H72)</f>
        <v>569.41840000000002</v>
      </c>
      <c r="K72" t="b">
        <v>0</v>
      </c>
      <c r="L72">
        <v>0</v>
      </c>
      <c r="M72" t="s">
        <v>5</v>
      </c>
      <c r="O72">
        <f>(J72+J73+J74+J75+J79+J82+J83+J84+J87+J88+J89+J90)</f>
        <v>1969.8489700000002</v>
      </c>
      <c r="P72">
        <f>(J77+J80+J81+J85)</f>
        <v>1126.9143200000001</v>
      </c>
    </row>
    <row r="73" spans="1:16" ht="15.6" x14ac:dyDescent="0.35">
      <c r="A73" t="s">
        <v>69</v>
      </c>
      <c r="B73" t="s">
        <v>70</v>
      </c>
      <c r="C73">
        <v>2025</v>
      </c>
      <c r="D73" t="s">
        <v>48</v>
      </c>
      <c r="E73" t="s">
        <v>6</v>
      </c>
      <c r="F73">
        <v>1385</v>
      </c>
      <c r="G73" t="s">
        <v>4</v>
      </c>
      <c r="H73" s="15">
        <v>0.26807999999999998</v>
      </c>
      <c r="I73" s="14" t="s">
        <v>58</v>
      </c>
      <c r="J73">
        <f t="shared" ref="J73:J90" si="3">(F73*H73)</f>
        <v>371.29079999999999</v>
      </c>
      <c r="K73" t="b">
        <v>1</v>
      </c>
      <c r="L73">
        <v>1</v>
      </c>
      <c r="M73" t="s">
        <v>5</v>
      </c>
    </row>
    <row r="74" spans="1:16" ht="15.6" x14ac:dyDescent="0.35">
      <c r="A74" t="s">
        <v>69</v>
      </c>
      <c r="B74" t="s">
        <v>70</v>
      </c>
      <c r="C74">
        <v>2025</v>
      </c>
      <c r="D74" t="s">
        <v>48</v>
      </c>
      <c r="E74" t="s">
        <v>7</v>
      </c>
      <c r="F74">
        <v>997</v>
      </c>
      <c r="G74" t="s">
        <v>4</v>
      </c>
      <c r="H74" s="15">
        <v>0.23030999999999999</v>
      </c>
      <c r="I74" s="14" t="s">
        <v>58</v>
      </c>
      <c r="J74">
        <f t="shared" si="3"/>
        <v>229.61906999999999</v>
      </c>
      <c r="K74" t="b">
        <v>1</v>
      </c>
      <c r="L74">
        <v>1</v>
      </c>
      <c r="M74" t="s">
        <v>5</v>
      </c>
    </row>
    <row r="75" spans="1:16" ht="15.6" x14ac:dyDescent="0.35">
      <c r="A75" t="s">
        <v>69</v>
      </c>
      <c r="B75" t="s">
        <v>70</v>
      </c>
      <c r="C75">
        <v>2025</v>
      </c>
      <c r="D75" t="s">
        <v>48</v>
      </c>
      <c r="E75" t="s">
        <v>62</v>
      </c>
      <c r="F75">
        <v>896</v>
      </c>
      <c r="G75" t="s">
        <v>4</v>
      </c>
      <c r="H75" s="8">
        <v>1.132E-2</v>
      </c>
      <c r="I75" s="14" t="s">
        <v>58</v>
      </c>
      <c r="J75">
        <f t="shared" si="3"/>
        <v>10.142720000000001</v>
      </c>
      <c r="K75" t="b">
        <v>1</v>
      </c>
      <c r="L75">
        <v>1</v>
      </c>
      <c r="M75" t="s">
        <v>5</v>
      </c>
    </row>
    <row r="76" spans="1:16" ht="15.6" x14ac:dyDescent="0.35">
      <c r="A76" t="s">
        <v>69</v>
      </c>
      <c r="B76" t="s">
        <v>70</v>
      </c>
      <c r="C76">
        <v>2025</v>
      </c>
      <c r="D76" t="s">
        <v>48</v>
      </c>
      <c r="E76" t="s">
        <v>8</v>
      </c>
      <c r="F76">
        <v>5230</v>
      </c>
      <c r="G76" t="s">
        <v>4</v>
      </c>
      <c r="H76" s="19">
        <v>0</v>
      </c>
      <c r="I76" s="14" t="s">
        <v>58</v>
      </c>
      <c r="J76">
        <f t="shared" si="3"/>
        <v>0</v>
      </c>
      <c r="K76" t="b">
        <v>1</v>
      </c>
      <c r="L76">
        <v>1</v>
      </c>
      <c r="M76" t="s">
        <v>9</v>
      </c>
    </row>
    <row r="77" spans="1:16" ht="15.6" x14ac:dyDescent="0.35">
      <c r="A77" t="s">
        <v>69</v>
      </c>
      <c r="B77" t="s">
        <v>70</v>
      </c>
      <c r="C77">
        <v>2025</v>
      </c>
      <c r="D77" t="s">
        <v>48</v>
      </c>
      <c r="E77" t="s">
        <v>10</v>
      </c>
      <c r="F77">
        <v>4188</v>
      </c>
      <c r="G77" t="s">
        <v>4</v>
      </c>
      <c r="H77" s="15">
        <v>0.20705000000000001</v>
      </c>
      <c r="I77" s="14" t="s">
        <v>58</v>
      </c>
      <c r="J77">
        <f t="shared" si="3"/>
        <v>867.12540000000001</v>
      </c>
      <c r="K77" t="b">
        <v>1</v>
      </c>
      <c r="L77">
        <v>1</v>
      </c>
      <c r="M77" t="s">
        <v>5</v>
      </c>
    </row>
    <row r="78" spans="1:16" ht="15.6" x14ac:dyDescent="0.35">
      <c r="A78" t="s">
        <v>69</v>
      </c>
      <c r="B78" t="s">
        <v>70</v>
      </c>
      <c r="C78">
        <v>2025</v>
      </c>
      <c r="D78" t="s">
        <v>48</v>
      </c>
      <c r="E78" t="s">
        <v>63</v>
      </c>
      <c r="F78">
        <v>1867</v>
      </c>
      <c r="G78" t="s">
        <v>4</v>
      </c>
      <c r="H78" s="20">
        <v>0</v>
      </c>
      <c r="I78" s="14" t="s">
        <v>58</v>
      </c>
      <c r="J78">
        <f t="shared" si="3"/>
        <v>0</v>
      </c>
      <c r="K78" t="b">
        <v>1</v>
      </c>
      <c r="L78">
        <v>1</v>
      </c>
      <c r="M78" t="s">
        <v>64</v>
      </c>
    </row>
    <row r="79" spans="1:16" ht="15.6" x14ac:dyDescent="0.35">
      <c r="A79" t="s">
        <v>69</v>
      </c>
      <c r="B79" t="s">
        <v>70</v>
      </c>
      <c r="C79">
        <v>2025</v>
      </c>
      <c r="D79" t="s">
        <v>48</v>
      </c>
      <c r="E79" t="s">
        <v>65</v>
      </c>
      <c r="F79">
        <v>68</v>
      </c>
      <c r="G79" t="s">
        <v>4</v>
      </c>
      <c r="H79" s="21">
        <v>0.20705000000000001</v>
      </c>
      <c r="I79" s="14" t="s">
        <v>58</v>
      </c>
      <c r="J79">
        <f t="shared" si="3"/>
        <v>14.079400000000001</v>
      </c>
      <c r="K79" t="b">
        <v>1</v>
      </c>
      <c r="L79">
        <v>1</v>
      </c>
      <c r="M79" t="s">
        <v>64</v>
      </c>
    </row>
    <row r="80" spans="1:16" ht="15.6" x14ac:dyDescent="0.35">
      <c r="A80" t="s">
        <v>69</v>
      </c>
      <c r="B80" t="s">
        <v>70</v>
      </c>
      <c r="C80">
        <v>2025</v>
      </c>
      <c r="D80" t="s">
        <v>48</v>
      </c>
      <c r="E80" t="s">
        <v>11</v>
      </c>
      <c r="F80">
        <v>232</v>
      </c>
      <c r="G80" t="s">
        <v>4</v>
      </c>
      <c r="H80" s="8">
        <v>0.20263999999999999</v>
      </c>
      <c r="I80" s="14" t="s">
        <v>58</v>
      </c>
      <c r="J80">
        <f t="shared" si="3"/>
        <v>47.012479999999996</v>
      </c>
      <c r="K80" t="b">
        <v>1</v>
      </c>
      <c r="L80">
        <v>1</v>
      </c>
      <c r="M80" t="s">
        <v>5</v>
      </c>
    </row>
    <row r="81" spans="1:16" ht="15.6" x14ac:dyDescent="0.35">
      <c r="A81" t="s">
        <v>69</v>
      </c>
      <c r="B81" t="s">
        <v>70</v>
      </c>
      <c r="C81">
        <v>2025</v>
      </c>
      <c r="D81" t="s">
        <v>48</v>
      </c>
      <c r="E81" t="s">
        <v>12</v>
      </c>
      <c r="F81">
        <v>529</v>
      </c>
      <c r="G81" t="s">
        <v>4</v>
      </c>
      <c r="H81" s="12">
        <v>0.17965</v>
      </c>
      <c r="I81" s="14" t="s">
        <v>58</v>
      </c>
      <c r="J81">
        <f t="shared" si="3"/>
        <v>95.034850000000006</v>
      </c>
      <c r="K81" t="b">
        <v>1</v>
      </c>
      <c r="L81">
        <v>1</v>
      </c>
      <c r="M81" t="s">
        <v>5</v>
      </c>
    </row>
    <row r="82" spans="1:16" ht="15.6" x14ac:dyDescent="0.35">
      <c r="A82" t="s">
        <v>69</v>
      </c>
      <c r="B82" t="s">
        <v>70</v>
      </c>
      <c r="C82">
        <v>2025</v>
      </c>
      <c r="D82" t="s">
        <v>48</v>
      </c>
      <c r="E82" s="1" t="s">
        <v>66</v>
      </c>
      <c r="F82">
        <v>572</v>
      </c>
      <c r="G82" t="s">
        <v>14</v>
      </c>
      <c r="H82" s="17">
        <v>0.15311</v>
      </c>
      <c r="I82" s="14" t="s">
        <v>58</v>
      </c>
      <c r="J82">
        <f t="shared" si="3"/>
        <v>87.578919999999997</v>
      </c>
      <c r="K82" t="b">
        <v>1</v>
      </c>
      <c r="L82">
        <v>1</v>
      </c>
      <c r="M82" t="s">
        <v>15</v>
      </c>
    </row>
    <row r="83" spans="1:16" ht="15.6" x14ac:dyDescent="0.35">
      <c r="A83" t="s">
        <v>69</v>
      </c>
      <c r="B83" t="s">
        <v>70</v>
      </c>
      <c r="C83">
        <v>2025</v>
      </c>
      <c r="D83" t="s">
        <v>48</v>
      </c>
      <c r="E83" s="1" t="s">
        <v>13</v>
      </c>
      <c r="F83">
        <v>446</v>
      </c>
      <c r="G83" t="s">
        <v>14</v>
      </c>
      <c r="H83" s="22">
        <v>0.34399999999999997</v>
      </c>
      <c r="I83" s="14" t="s">
        <v>58</v>
      </c>
      <c r="J83">
        <f t="shared" si="3"/>
        <v>153.42399999999998</v>
      </c>
      <c r="K83" t="b">
        <v>1</v>
      </c>
      <c r="L83">
        <v>1</v>
      </c>
      <c r="M83" t="s">
        <v>15</v>
      </c>
    </row>
    <row r="84" spans="1:16" ht="15.6" x14ac:dyDescent="0.35">
      <c r="A84" t="s">
        <v>69</v>
      </c>
      <c r="B84" t="s">
        <v>70</v>
      </c>
      <c r="C84">
        <v>2025</v>
      </c>
      <c r="D84" t="s">
        <v>48</v>
      </c>
      <c r="E84" s="1" t="s">
        <v>16</v>
      </c>
      <c r="F84">
        <v>436</v>
      </c>
      <c r="G84" t="s">
        <v>14</v>
      </c>
      <c r="H84" s="22">
        <v>0.54</v>
      </c>
      <c r="I84" s="14" t="s">
        <v>58</v>
      </c>
      <c r="J84">
        <f t="shared" si="3"/>
        <v>235.44000000000003</v>
      </c>
      <c r="K84" t="b">
        <v>0</v>
      </c>
      <c r="L84">
        <v>1</v>
      </c>
    </row>
    <row r="85" spans="1:16" ht="15.6" x14ac:dyDescent="0.35">
      <c r="A85" t="s">
        <v>69</v>
      </c>
      <c r="B85" t="s">
        <v>70</v>
      </c>
      <c r="C85">
        <v>2025</v>
      </c>
      <c r="D85" t="s">
        <v>48</v>
      </c>
      <c r="E85" s="1" t="s">
        <v>18</v>
      </c>
      <c r="F85">
        <v>769</v>
      </c>
      <c r="G85" t="s">
        <v>14</v>
      </c>
      <c r="H85" s="17">
        <v>0.15311</v>
      </c>
      <c r="I85" s="16" t="s">
        <v>58</v>
      </c>
      <c r="J85">
        <f t="shared" si="3"/>
        <v>117.74159</v>
      </c>
      <c r="K85" t="b">
        <v>1</v>
      </c>
      <c r="L85">
        <v>1</v>
      </c>
      <c r="M85" t="s">
        <v>5</v>
      </c>
    </row>
    <row r="86" spans="1:16" ht="15.6" x14ac:dyDescent="0.35">
      <c r="A86" t="s">
        <v>69</v>
      </c>
      <c r="B86" t="s">
        <v>70</v>
      </c>
      <c r="C86">
        <v>2025</v>
      </c>
      <c r="D86" t="s">
        <v>48</v>
      </c>
      <c r="E86" s="1" t="s">
        <v>19</v>
      </c>
      <c r="F86">
        <v>138</v>
      </c>
      <c r="G86" t="s">
        <v>14</v>
      </c>
      <c r="H86" s="22">
        <v>0</v>
      </c>
      <c r="I86" s="14" t="s">
        <v>58</v>
      </c>
      <c r="J86">
        <f t="shared" si="3"/>
        <v>0</v>
      </c>
      <c r="K86" t="b">
        <v>0</v>
      </c>
      <c r="L86">
        <v>0</v>
      </c>
      <c r="M86" t="s">
        <v>20</v>
      </c>
    </row>
    <row r="87" spans="1:16" ht="15.6" x14ac:dyDescent="0.35">
      <c r="A87" t="s">
        <v>69</v>
      </c>
      <c r="B87" t="s">
        <v>70</v>
      </c>
      <c r="C87">
        <v>2025</v>
      </c>
      <c r="D87" t="s">
        <v>48</v>
      </c>
      <c r="E87" s="1" t="s">
        <v>67</v>
      </c>
      <c r="F87">
        <v>411</v>
      </c>
      <c r="G87" t="s">
        <v>14</v>
      </c>
      <c r="H87" s="9">
        <v>0.18573999999999999</v>
      </c>
      <c r="I87" s="16" t="s">
        <v>58</v>
      </c>
      <c r="J87">
        <f t="shared" si="3"/>
        <v>76.33914</v>
      </c>
      <c r="K87" t="b">
        <v>1</v>
      </c>
      <c r="L87">
        <v>1</v>
      </c>
      <c r="M87" t="s">
        <v>68</v>
      </c>
    </row>
    <row r="88" spans="1:16" ht="15.6" x14ac:dyDescent="0.35">
      <c r="A88" t="s">
        <v>69</v>
      </c>
      <c r="B88" t="s">
        <v>70</v>
      </c>
      <c r="C88">
        <v>2025</v>
      </c>
      <c r="D88" t="s">
        <v>48</v>
      </c>
      <c r="E88" s="1" t="s">
        <v>21</v>
      </c>
      <c r="F88">
        <v>301</v>
      </c>
      <c r="G88" t="s">
        <v>14</v>
      </c>
      <c r="H88" s="9">
        <v>0.18573999999999999</v>
      </c>
      <c r="I88" s="16" t="s">
        <v>58</v>
      </c>
      <c r="J88">
        <f t="shared" si="3"/>
        <v>55.907739999999997</v>
      </c>
      <c r="K88" t="b">
        <v>1</v>
      </c>
      <c r="L88">
        <v>1</v>
      </c>
      <c r="M88" t="s">
        <v>15</v>
      </c>
    </row>
    <row r="89" spans="1:16" ht="15.6" x14ac:dyDescent="0.35">
      <c r="A89" t="s">
        <v>69</v>
      </c>
      <c r="B89" t="s">
        <v>70</v>
      </c>
      <c r="C89">
        <v>2025</v>
      </c>
      <c r="D89" t="s">
        <v>48</v>
      </c>
      <c r="E89" s="1" t="s">
        <v>22</v>
      </c>
      <c r="F89">
        <v>278</v>
      </c>
      <c r="G89" t="s">
        <v>14</v>
      </c>
      <c r="H89" s="9">
        <v>0.18573999999999999</v>
      </c>
      <c r="I89" s="16" t="s">
        <v>58</v>
      </c>
      <c r="J89">
        <f t="shared" si="3"/>
        <v>51.635719999999999</v>
      </c>
      <c r="K89" t="b">
        <v>0</v>
      </c>
      <c r="L89">
        <v>0</v>
      </c>
      <c r="M89" t="s">
        <v>20</v>
      </c>
    </row>
    <row r="90" spans="1:16" ht="15.6" x14ac:dyDescent="0.35">
      <c r="A90" t="s">
        <v>69</v>
      </c>
      <c r="B90" t="s">
        <v>70</v>
      </c>
      <c r="C90">
        <v>2025</v>
      </c>
      <c r="D90" t="s">
        <v>48</v>
      </c>
      <c r="E90" s="1" t="s">
        <v>23</v>
      </c>
      <c r="F90">
        <v>619</v>
      </c>
      <c r="G90" t="s">
        <v>14</v>
      </c>
      <c r="H90" s="9">
        <v>0.18573999999999999</v>
      </c>
      <c r="I90" s="16" t="s">
        <v>58</v>
      </c>
      <c r="J90">
        <f t="shared" si="3"/>
        <v>114.97305999999999</v>
      </c>
      <c r="K90" t="b">
        <v>1</v>
      </c>
      <c r="L90">
        <v>1</v>
      </c>
      <c r="M90" t="s">
        <v>5</v>
      </c>
    </row>
    <row r="92" spans="1:16" ht="15.6" x14ac:dyDescent="0.35">
      <c r="A92" t="s">
        <v>69</v>
      </c>
      <c r="B92" t="s">
        <v>70</v>
      </c>
      <c r="C92">
        <v>2025</v>
      </c>
      <c r="D92" t="s">
        <v>49</v>
      </c>
      <c r="E92" t="s">
        <v>3</v>
      </c>
      <c r="F92">
        <v>3935</v>
      </c>
      <c r="G92" t="s">
        <v>4</v>
      </c>
      <c r="H92" s="15">
        <v>0.20263999999999999</v>
      </c>
      <c r="I92" s="14" t="s">
        <v>58</v>
      </c>
      <c r="J92">
        <f>(F92*H92)</f>
        <v>797.38839999999993</v>
      </c>
      <c r="K92" t="b">
        <v>1</v>
      </c>
      <c r="L92">
        <v>1</v>
      </c>
      <c r="M92" t="s">
        <v>5</v>
      </c>
      <c r="O92">
        <f>(J92+J93+J94+J95+J99+J102+J103+J104+J107+J108+J109+J110)</f>
        <v>1839.5998700000002</v>
      </c>
      <c r="P92">
        <f>(J97+J100+J101+J105)</f>
        <v>1923.5094099999999</v>
      </c>
    </row>
    <row r="93" spans="1:16" ht="15.6" x14ac:dyDescent="0.35">
      <c r="A93" t="s">
        <v>69</v>
      </c>
      <c r="B93" t="s">
        <v>70</v>
      </c>
      <c r="C93">
        <v>2025</v>
      </c>
      <c r="D93" t="s">
        <v>49</v>
      </c>
      <c r="E93" t="s">
        <v>6</v>
      </c>
      <c r="F93">
        <v>364</v>
      </c>
      <c r="G93" t="s">
        <v>4</v>
      </c>
      <c r="H93" s="15">
        <v>0.26807999999999998</v>
      </c>
      <c r="I93" s="14" t="s">
        <v>58</v>
      </c>
      <c r="J93">
        <f t="shared" ref="J93:J110" si="4">(F93*H93)</f>
        <v>97.581119999999999</v>
      </c>
      <c r="K93" t="b">
        <v>1</v>
      </c>
      <c r="L93">
        <v>1</v>
      </c>
      <c r="M93" t="s">
        <v>5</v>
      </c>
    </row>
    <row r="94" spans="1:16" ht="15.6" x14ac:dyDescent="0.35">
      <c r="A94" t="s">
        <v>69</v>
      </c>
      <c r="B94" t="s">
        <v>70</v>
      </c>
      <c r="C94">
        <v>2025</v>
      </c>
      <c r="D94" t="s">
        <v>49</v>
      </c>
      <c r="E94" t="s">
        <v>7</v>
      </c>
      <c r="F94">
        <v>662</v>
      </c>
      <c r="G94" t="s">
        <v>4</v>
      </c>
      <c r="H94" s="15">
        <v>0.23030999999999999</v>
      </c>
      <c r="I94" s="14" t="s">
        <v>58</v>
      </c>
      <c r="J94">
        <f t="shared" si="4"/>
        <v>152.46521999999999</v>
      </c>
      <c r="K94" t="b">
        <v>1</v>
      </c>
      <c r="L94">
        <v>1</v>
      </c>
      <c r="M94" t="s">
        <v>5</v>
      </c>
    </row>
    <row r="95" spans="1:16" ht="15.6" x14ac:dyDescent="0.35">
      <c r="A95" t="s">
        <v>69</v>
      </c>
      <c r="B95" t="s">
        <v>70</v>
      </c>
      <c r="C95">
        <v>2025</v>
      </c>
      <c r="D95" t="s">
        <v>49</v>
      </c>
      <c r="E95" t="s">
        <v>62</v>
      </c>
      <c r="F95">
        <v>807</v>
      </c>
      <c r="G95" t="s">
        <v>4</v>
      </c>
      <c r="H95" s="8">
        <v>1.132E-2</v>
      </c>
      <c r="I95" s="14" t="s">
        <v>58</v>
      </c>
      <c r="J95">
        <f t="shared" si="4"/>
        <v>9.1352399999999996</v>
      </c>
      <c r="K95" t="b">
        <v>1</v>
      </c>
      <c r="L95">
        <v>1</v>
      </c>
      <c r="M95" t="s">
        <v>5</v>
      </c>
    </row>
    <row r="96" spans="1:16" ht="15.6" x14ac:dyDescent="0.35">
      <c r="A96" t="s">
        <v>69</v>
      </c>
      <c r="B96" t="s">
        <v>70</v>
      </c>
      <c r="C96">
        <v>2025</v>
      </c>
      <c r="D96" t="s">
        <v>49</v>
      </c>
      <c r="E96" t="s">
        <v>8</v>
      </c>
      <c r="F96">
        <v>7832</v>
      </c>
      <c r="G96" t="s">
        <v>4</v>
      </c>
      <c r="H96" s="19">
        <v>0</v>
      </c>
      <c r="I96" s="14" t="s">
        <v>58</v>
      </c>
      <c r="J96">
        <f t="shared" si="4"/>
        <v>0</v>
      </c>
      <c r="K96" t="b">
        <v>1</v>
      </c>
      <c r="L96">
        <v>1</v>
      </c>
      <c r="M96" t="s">
        <v>9</v>
      </c>
    </row>
    <row r="97" spans="1:16" ht="15.6" x14ac:dyDescent="0.35">
      <c r="A97" t="s">
        <v>69</v>
      </c>
      <c r="B97" t="s">
        <v>70</v>
      </c>
      <c r="C97">
        <v>2025</v>
      </c>
      <c r="D97" t="s">
        <v>49</v>
      </c>
      <c r="E97" t="s">
        <v>10</v>
      </c>
      <c r="F97">
        <v>7878</v>
      </c>
      <c r="G97" t="s">
        <v>4</v>
      </c>
      <c r="H97" s="15">
        <v>0.20705000000000001</v>
      </c>
      <c r="I97" s="14" t="s">
        <v>58</v>
      </c>
      <c r="J97">
        <f t="shared" si="4"/>
        <v>1631.1399000000001</v>
      </c>
      <c r="K97" t="b">
        <v>1</v>
      </c>
      <c r="L97">
        <v>1</v>
      </c>
      <c r="M97" t="s">
        <v>5</v>
      </c>
    </row>
    <row r="98" spans="1:16" ht="15.6" x14ac:dyDescent="0.35">
      <c r="A98" t="s">
        <v>69</v>
      </c>
      <c r="B98" t="s">
        <v>70</v>
      </c>
      <c r="C98">
        <v>2025</v>
      </c>
      <c r="D98" t="s">
        <v>49</v>
      </c>
      <c r="E98" t="s">
        <v>63</v>
      </c>
      <c r="F98">
        <v>1444</v>
      </c>
      <c r="G98" t="s">
        <v>4</v>
      </c>
      <c r="H98" s="20">
        <v>0</v>
      </c>
      <c r="I98" s="14" t="s">
        <v>58</v>
      </c>
      <c r="J98">
        <f t="shared" si="4"/>
        <v>0</v>
      </c>
      <c r="K98" t="b">
        <v>1</v>
      </c>
      <c r="L98">
        <v>1</v>
      </c>
      <c r="M98" t="s">
        <v>64</v>
      </c>
    </row>
    <row r="99" spans="1:16" ht="15.6" x14ac:dyDescent="0.35">
      <c r="A99" t="s">
        <v>69</v>
      </c>
      <c r="B99" t="s">
        <v>70</v>
      </c>
      <c r="C99">
        <v>2025</v>
      </c>
      <c r="D99" t="s">
        <v>49</v>
      </c>
      <c r="E99" t="s">
        <v>65</v>
      </c>
      <c r="F99">
        <v>35</v>
      </c>
      <c r="G99" t="s">
        <v>4</v>
      </c>
      <c r="H99" s="21">
        <v>0.20705000000000001</v>
      </c>
      <c r="I99" s="14" t="s">
        <v>58</v>
      </c>
      <c r="J99">
        <f t="shared" si="4"/>
        <v>7.2467500000000005</v>
      </c>
      <c r="K99" t="b">
        <v>1</v>
      </c>
      <c r="L99">
        <v>1</v>
      </c>
      <c r="M99" t="s">
        <v>64</v>
      </c>
    </row>
    <row r="100" spans="1:16" ht="15.6" x14ac:dyDescent="0.35">
      <c r="A100" t="s">
        <v>69</v>
      </c>
      <c r="B100" t="s">
        <v>70</v>
      </c>
      <c r="C100">
        <v>2025</v>
      </c>
      <c r="D100" t="s">
        <v>49</v>
      </c>
      <c r="E100" t="s">
        <v>11</v>
      </c>
      <c r="F100">
        <v>283</v>
      </c>
      <c r="G100" t="s">
        <v>4</v>
      </c>
      <c r="H100" s="8">
        <v>0.20263999999999999</v>
      </c>
      <c r="I100" s="14" t="s">
        <v>58</v>
      </c>
      <c r="J100">
        <f t="shared" si="4"/>
        <v>57.347119999999997</v>
      </c>
      <c r="K100" t="b">
        <v>1</v>
      </c>
      <c r="L100">
        <v>1</v>
      </c>
      <c r="M100" t="s">
        <v>5</v>
      </c>
    </row>
    <row r="101" spans="1:16" ht="15.6" x14ac:dyDescent="0.35">
      <c r="A101" t="s">
        <v>69</v>
      </c>
      <c r="B101" t="s">
        <v>70</v>
      </c>
      <c r="C101">
        <v>2025</v>
      </c>
      <c r="D101" t="s">
        <v>49</v>
      </c>
      <c r="E101" t="s">
        <v>12</v>
      </c>
      <c r="F101">
        <v>623</v>
      </c>
      <c r="G101" t="s">
        <v>4</v>
      </c>
      <c r="H101" s="12">
        <v>0.17965</v>
      </c>
      <c r="I101" s="14" t="s">
        <v>58</v>
      </c>
      <c r="J101">
        <f t="shared" si="4"/>
        <v>111.92195000000001</v>
      </c>
      <c r="K101" t="b">
        <v>1</v>
      </c>
      <c r="L101">
        <v>1</v>
      </c>
      <c r="M101" t="s">
        <v>5</v>
      </c>
    </row>
    <row r="102" spans="1:16" ht="15.6" x14ac:dyDescent="0.35">
      <c r="A102" t="s">
        <v>69</v>
      </c>
      <c r="B102" t="s">
        <v>70</v>
      </c>
      <c r="C102">
        <v>2025</v>
      </c>
      <c r="D102" t="s">
        <v>49</v>
      </c>
      <c r="E102" s="1" t="s">
        <v>66</v>
      </c>
      <c r="F102">
        <v>552</v>
      </c>
      <c r="G102" t="s">
        <v>14</v>
      </c>
      <c r="H102" s="17">
        <v>0.15311</v>
      </c>
      <c r="I102" s="14" t="s">
        <v>58</v>
      </c>
      <c r="J102">
        <f t="shared" si="4"/>
        <v>84.516719999999992</v>
      </c>
      <c r="K102" t="b">
        <v>1</v>
      </c>
      <c r="L102">
        <v>1</v>
      </c>
      <c r="M102" t="s">
        <v>15</v>
      </c>
    </row>
    <row r="103" spans="1:16" ht="15.6" x14ac:dyDescent="0.35">
      <c r="A103" t="s">
        <v>69</v>
      </c>
      <c r="B103" t="s">
        <v>70</v>
      </c>
      <c r="C103">
        <v>2025</v>
      </c>
      <c r="D103" t="s">
        <v>49</v>
      </c>
      <c r="E103" s="1" t="s">
        <v>13</v>
      </c>
      <c r="F103">
        <v>492</v>
      </c>
      <c r="G103" t="s">
        <v>14</v>
      </c>
      <c r="H103" s="22">
        <v>0.34399999999999997</v>
      </c>
      <c r="I103" s="14" t="s">
        <v>58</v>
      </c>
      <c r="J103">
        <f t="shared" si="4"/>
        <v>169.24799999999999</v>
      </c>
      <c r="K103" t="b">
        <v>1</v>
      </c>
      <c r="L103">
        <v>1</v>
      </c>
      <c r="M103" t="s">
        <v>15</v>
      </c>
    </row>
    <row r="104" spans="1:16" ht="15.6" x14ac:dyDescent="0.35">
      <c r="A104" t="s">
        <v>69</v>
      </c>
      <c r="B104" t="s">
        <v>70</v>
      </c>
      <c r="C104">
        <v>2025</v>
      </c>
      <c r="D104" t="s">
        <v>49</v>
      </c>
      <c r="E104" s="1" t="s">
        <v>16</v>
      </c>
      <c r="F104">
        <v>491</v>
      </c>
      <c r="G104" t="s">
        <v>14</v>
      </c>
      <c r="H104" s="22">
        <v>0.54</v>
      </c>
      <c r="I104" s="14" t="s">
        <v>58</v>
      </c>
      <c r="J104">
        <f t="shared" si="4"/>
        <v>265.14000000000004</v>
      </c>
      <c r="K104" t="b">
        <v>0</v>
      </c>
      <c r="L104">
        <v>1</v>
      </c>
      <c r="M104" t="s">
        <v>17</v>
      </c>
    </row>
    <row r="105" spans="1:16" ht="15.6" x14ac:dyDescent="0.35">
      <c r="A105" t="s">
        <v>69</v>
      </c>
      <c r="B105" t="s">
        <v>70</v>
      </c>
      <c r="C105">
        <v>2025</v>
      </c>
      <c r="D105" t="s">
        <v>49</v>
      </c>
      <c r="E105" s="1" t="s">
        <v>18</v>
      </c>
      <c r="F105">
        <v>804</v>
      </c>
      <c r="G105" t="s">
        <v>14</v>
      </c>
      <c r="H105" s="17">
        <v>0.15311</v>
      </c>
      <c r="I105" s="16" t="s">
        <v>58</v>
      </c>
      <c r="J105">
        <f t="shared" si="4"/>
        <v>123.10043999999999</v>
      </c>
      <c r="K105" t="b">
        <v>1</v>
      </c>
      <c r="L105">
        <v>1</v>
      </c>
      <c r="M105" t="s">
        <v>5</v>
      </c>
    </row>
    <row r="106" spans="1:16" ht="15.6" x14ac:dyDescent="0.35">
      <c r="A106" t="s">
        <v>69</v>
      </c>
      <c r="B106" t="s">
        <v>70</v>
      </c>
      <c r="C106">
        <v>2025</v>
      </c>
      <c r="D106" t="s">
        <v>49</v>
      </c>
      <c r="E106" s="1" t="s">
        <v>19</v>
      </c>
      <c r="F106">
        <v>172</v>
      </c>
      <c r="G106" t="s">
        <v>14</v>
      </c>
      <c r="H106" s="22">
        <v>0</v>
      </c>
      <c r="I106" s="14" t="s">
        <v>58</v>
      </c>
      <c r="J106">
        <f t="shared" si="4"/>
        <v>0</v>
      </c>
      <c r="K106" t="b">
        <v>0</v>
      </c>
      <c r="L106">
        <v>0</v>
      </c>
      <c r="M106" t="s">
        <v>20</v>
      </c>
    </row>
    <row r="107" spans="1:16" ht="15.6" x14ac:dyDescent="0.35">
      <c r="A107" t="s">
        <v>69</v>
      </c>
      <c r="B107" t="s">
        <v>70</v>
      </c>
      <c r="C107">
        <v>2025</v>
      </c>
      <c r="D107" t="s">
        <v>49</v>
      </c>
      <c r="E107" s="1" t="s">
        <v>67</v>
      </c>
      <c r="F107">
        <v>425</v>
      </c>
      <c r="G107" t="s">
        <v>14</v>
      </c>
      <c r="H107" s="9">
        <v>0.18573999999999999</v>
      </c>
      <c r="I107" s="16" t="s">
        <v>58</v>
      </c>
      <c r="J107">
        <f t="shared" si="4"/>
        <v>78.939499999999995</v>
      </c>
      <c r="K107" t="b">
        <v>1</v>
      </c>
      <c r="L107">
        <v>1</v>
      </c>
      <c r="M107" t="s">
        <v>68</v>
      </c>
    </row>
    <row r="108" spans="1:16" ht="15.6" x14ac:dyDescent="0.35">
      <c r="A108" t="s">
        <v>69</v>
      </c>
      <c r="B108" t="s">
        <v>70</v>
      </c>
      <c r="C108">
        <v>2025</v>
      </c>
      <c r="D108" t="s">
        <v>49</v>
      </c>
      <c r="E108" s="1" t="s">
        <v>21</v>
      </c>
      <c r="F108">
        <v>370</v>
      </c>
      <c r="G108" t="s">
        <v>14</v>
      </c>
      <c r="H108" s="9">
        <v>0.18573999999999999</v>
      </c>
      <c r="I108" s="16" t="s">
        <v>58</v>
      </c>
      <c r="J108">
        <f t="shared" si="4"/>
        <v>68.723799999999997</v>
      </c>
      <c r="K108" t="b">
        <v>1</v>
      </c>
      <c r="L108">
        <v>1</v>
      </c>
      <c r="M108" t="s">
        <v>15</v>
      </c>
    </row>
    <row r="109" spans="1:16" ht="15.6" x14ac:dyDescent="0.35">
      <c r="A109" t="s">
        <v>69</v>
      </c>
      <c r="B109" t="s">
        <v>70</v>
      </c>
      <c r="C109">
        <v>2025</v>
      </c>
      <c r="D109" t="s">
        <v>49</v>
      </c>
      <c r="E109" s="1" t="s">
        <v>22</v>
      </c>
      <c r="H109" s="9">
        <v>0.18573999999999999</v>
      </c>
      <c r="I109" s="16" t="s">
        <v>58</v>
      </c>
      <c r="J109">
        <f t="shared" si="4"/>
        <v>0</v>
      </c>
    </row>
    <row r="110" spans="1:16" ht="15.6" x14ac:dyDescent="0.35">
      <c r="A110" t="s">
        <v>69</v>
      </c>
      <c r="B110" t="s">
        <v>70</v>
      </c>
      <c r="C110">
        <v>2025</v>
      </c>
      <c r="D110" t="s">
        <v>49</v>
      </c>
      <c r="E110" s="1" t="s">
        <v>23</v>
      </c>
      <c r="F110">
        <v>588</v>
      </c>
      <c r="G110" t="s">
        <v>14</v>
      </c>
      <c r="H110" s="9">
        <v>0.18573999999999999</v>
      </c>
      <c r="I110" s="16" t="s">
        <v>58</v>
      </c>
      <c r="J110">
        <f t="shared" si="4"/>
        <v>109.21512</v>
      </c>
      <c r="K110" t="b">
        <v>1</v>
      </c>
      <c r="L110">
        <v>1</v>
      </c>
      <c r="M110" t="s">
        <v>5</v>
      </c>
    </row>
    <row r="112" spans="1:16" ht="15.6" x14ac:dyDescent="0.35">
      <c r="A112" t="s">
        <v>69</v>
      </c>
      <c r="B112" t="s">
        <v>70</v>
      </c>
      <c r="C112">
        <v>2025</v>
      </c>
      <c r="D112" t="s">
        <v>50</v>
      </c>
      <c r="E112" t="s">
        <v>3</v>
      </c>
      <c r="F112">
        <v>3711</v>
      </c>
      <c r="G112" t="s">
        <v>4</v>
      </c>
      <c r="H112" s="15">
        <v>0.20263999999999999</v>
      </c>
      <c r="I112" s="14" t="s">
        <v>58</v>
      </c>
      <c r="J112">
        <f>(F112*H112)</f>
        <v>751.99703999999997</v>
      </c>
      <c r="K112" t="b">
        <v>1</v>
      </c>
      <c r="L112">
        <v>1</v>
      </c>
      <c r="M112" t="s">
        <v>5</v>
      </c>
      <c r="O112">
        <f>(J112+J113+J114+J115+J119+J122+J123+J124+J127+J128+J129+J130)</f>
        <v>1741.0899799999997</v>
      </c>
      <c r="P112">
        <f>(J117+J120+J121+J125)</f>
        <v>1705.81259</v>
      </c>
    </row>
    <row r="113" spans="1:13" ht="15.6" x14ac:dyDescent="0.35">
      <c r="A113" t="s">
        <v>69</v>
      </c>
      <c r="B113" t="s">
        <v>70</v>
      </c>
      <c r="C113">
        <v>2025</v>
      </c>
      <c r="D113" t="s">
        <v>50</v>
      </c>
      <c r="E113" t="s">
        <v>6</v>
      </c>
      <c r="F113">
        <v>311</v>
      </c>
      <c r="G113" t="s">
        <v>4</v>
      </c>
      <c r="H113" s="15">
        <v>0.26807999999999998</v>
      </c>
      <c r="I113" s="14" t="s">
        <v>58</v>
      </c>
      <c r="J113">
        <f t="shared" ref="J113:J130" si="5">(F113*H113)</f>
        <v>83.372879999999995</v>
      </c>
      <c r="K113" t="b">
        <v>1</v>
      </c>
      <c r="L113">
        <v>1</v>
      </c>
      <c r="M113" t="s">
        <v>5</v>
      </c>
    </row>
    <row r="114" spans="1:13" ht="15.6" x14ac:dyDescent="0.35">
      <c r="A114" t="s">
        <v>69</v>
      </c>
      <c r="B114" t="s">
        <v>70</v>
      </c>
      <c r="C114">
        <v>2025</v>
      </c>
      <c r="D114" t="s">
        <v>50</v>
      </c>
      <c r="E114" t="s">
        <v>7</v>
      </c>
      <c r="F114">
        <v>397</v>
      </c>
      <c r="G114" t="s">
        <v>4</v>
      </c>
      <c r="H114" s="15">
        <v>0.23030999999999999</v>
      </c>
      <c r="I114" s="14" t="s">
        <v>58</v>
      </c>
      <c r="J114">
        <f t="shared" si="5"/>
        <v>91.433070000000001</v>
      </c>
      <c r="K114" t="b">
        <v>1</v>
      </c>
      <c r="L114">
        <v>1</v>
      </c>
      <c r="M114" t="s">
        <v>5</v>
      </c>
    </row>
    <row r="115" spans="1:13" ht="15.6" x14ac:dyDescent="0.35">
      <c r="A115" t="s">
        <v>69</v>
      </c>
      <c r="B115" t="s">
        <v>70</v>
      </c>
      <c r="C115">
        <v>2025</v>
      </c>
      <c r="D115" t="s">
        <v>50</v>
      </c>
      <c r="E115" t="s">
        <v>62</v>
      </c>
      <c r="F115">
        <v>646</v>
      </c>
      <c r="G115" t="s">
        <v>4</v>
      </c>
      <c r="H115" s="8">
        <v>1.132E-2</v>
      </c>
      <c r="I115" s="14" t="s">
        <v>58</v>
      </c>
      <c r="J115">
        <f t="shared" si="5"/>
        <v>7.3127200000000006</v>
      </c>
      <c r="K115" t="b">
        <v>1</v>
      </c>
      <c r="L115">
        <v>1</v>
      </c>
      <c r="M115" t="s">
        <v>5</v>
      </c>
    </row>
    <row r="116" spans="1:13" ht="15.6" x14ac:dyDescent="0.35">
      <c r="A116" t="s">
        <v>69</v>
      </c>
      <c r="B116" t="s">
        <v>70</v>
      </c>
      <c r="C116">
        <v>2025</v>
      </c>
      <c r="D116" t="s">
        <v>50</v>
      </c>
      <c r="E116" t="s">
        <v>8</v>
      </c>
      <c r="F116">
        <v>3647</v>
      </c>
      <c r="G116" t="s">
        <v>4</v>
      </c>
      <c r="H116" s="19">
        <v>0</v>
      </c>
      <c r="I116" s="14" t="s">
        <v>58</v>
      </c>
      <c r="J116">
        <f t="shared" si="5"/>
        <v>0</v>
      </c>
      <c r="K116" t="b">
        <v>1</v>
      </c>
      <c r="L116">
        <v>1</v>
      </c>
      <c r="M116" t="s">
        <v>9</v>
      </c>
    </row>
    <row r="117" spans="1:13" ht="15.6" x14ac:dyDescent="0.35">
      <c r="A117" t="s">
        <v>69</v>
      </c>
      <c r="B117" t="s">
        <v>70</v>
      </c>
      <c r="C117">
        <v>2025</v>
      </c>
      <c r="D117" t="s">
        <v>50</v>
      </c>
      <c r="E117" t="s">
        <v>10</v>
      </c>
      <c r="F117">
        <v>6982</v>
      </c>
      <c r="G117" t="s">
        <v>4</v>
      </c>
      <c r="H117" s="15">
        <v>0.20705000000000001</v>
      </c>
      <c r="I117" s="14" t="s">
        <v>58</v>
      </c>
      <c r="J117">
        <f t="shared" si="5"/>
        <v>1445.6231</v>
      </c>
      <c r="K117" t="b">
        <v>1</v>
      </c>
      <c r="L117">
        <v>1</v>
      </c>
      <c r="M117" t="s">
        <v>5</v>
      </c>
    </row>
    <row r="118" spans="1:13" ht="15.6" x14ac:dyDescent="0.35">
      <c r="A118" t="s">
        <v>69</v>
      </c>
      <c r="B118" t="s">
        <v>70</v>
      </c>
      <c r="C118">
        <v>2025</v>
      </c>
      <c r="D118" t="s">
        <v>50</v>
      </c>
      <c r="E118" t="s">
        <v>63</v>
      </c>
      <c r="F118">
        <v>1677</v>
      </c>
      <c r="G118" t="s">
        <v>4</v>
      </c>
      <c r="H118" s="20">
        <v>0</v>
      </c>
      <c r="I118" s="14" t="s">
        <v>58</v>
      </c>
      <c r="J118">
        <f t="shared" si="5"/>
        <v>0</v>
      </c>
      <c r="K118" t="b">
        <v>1</v>
      </c>
      <c r="L118">
        <v>1</v>
      </c>
      <c r="M118" t="s">
        <v>64</v>
      </c>
    </row>
    <row r="119" spans="1:13" ht="15.6" x14ac:dyDescent="0.35">
      <c r="A119" t="s">
        <v>69</v>
      </c>
      <c r="B119" t="s">
        <v>70</v>
      </c>
      <c r="C119">
        <v>2025</v>
      </c>
      <c r="D119" t="s">
        <v>50</v>
      </c>
      <c r="E119" t="s">
        <v>65</v>
      </c>
      <c r="F119">
        <v>13</v>
      </c>
      <c r="G119" t="s">
        <v>4</v>
      </c>
      <c r="H119" s="21">
        <v>0.20705000000000001</v>
      </c>
      <c r="I119" s="14" t="s">
        <v>58</v>
      </c>
      <c r="J119">
        <f t="shared" si="5"/>
        <v>2.6916500000000001</v>
      </c>
      <c r="K119" t="b">
        <v>1</v>
      </c>
      <c r="L119">
        <v>1</v>
      </c>
      <c r="M119" t="s">
        <v>64</v>
      </c>
    </row>
    <row r="120" spans="1:13" ht="15.6" x14ac:dyDescent="0.35">
      <c r="A120" t="s">
        <v>69</v>
      </c>
      <c r="B120" t="s">
        <v>70</v>
      </c>
      <c r="C120">
        <v>2025</v>
      </c>
      <c r="D120" t="s">
        <v>50</v>
      </c>
      <c r="E120" t="s">
        <v>11</v>
      </c>
      <c r="F120">
        <v>271</v>
      </c>
      <c r="G120" t="s">
        <v>4</v>
      </c>
      <c r="H120" s="8">
        <v>0.20263999999999999</v>
      </c>
      <c r="I120" s="14" t="s">
        <v>58</v>
      </c>
      <c r="J120">
        <f t="shared" si="5"/>
        <v>54.915439999999997</v>
      </c>
      <c r="K120" t="b">
        <v>1</v>
      </c>
      <c r="L120">
        <v>1</v>
      </c>
      <c r="M120" t="s">
        <v>5</v>
      </c>
    </row>
    <row r="121" spans="1:13" ht="15.6" x14ac:dyDescent="0.35">
      <c r="A121" t="s">
        <v>69</v>
      </c>
      <c r="B121" t="s">
        <v>70</v>
      </c>
      <c r="C121">
        <v>2025</v>
      </c>
      <c r="D121" t="s">
        <v>50</v>
      </c>
      <c r="E121" t="s">
        <v>12</v>
      </c>
      <c r="F121">
        <v>529</v>
      </c>
      <c r="G121" t="s">
        <v>4</v>
      </c>
      <c r="H121" s="12">
        <v>0.17965</v>
      </c>
      <c r="I121" s="14" t="s">
        <v>58</v>
      </c>
      <c r="J121">
        <f t="shared" si="5"/>
        <v>95.034850000000006</v>
      </c>
      <c r="K121" t="b">
        <v>1</v>
      </c>
      <c r="L121">
        <v>1</v>
      </c>
      <c r="M121" t="s">
        <v>5</v>
      </c>
    </row>
    <row r="122" spans="1:13" ht="15.6" x14ac:dyDescent="0.35">
      <c r="A122" t="s">
        <v>69</v>
      </c>
      <c r="B122" t="s">
        <v>70</v>
      </c>
      <c r="C122">
        <v>2025</v>
      </c>
      <c r="D122" t="s">
        <v>50</v>
      </c>
      <c r="E122" s="1" t="s">
        <v>66</v>
      </c>
      <c r="F122">
        <v>528</v>
      </c>
      <c r="G122" t="s">
        <v>14</v>
      </c>
      <c r="H122" s="17">
        <v>0.15311</v>
      </c>
      <c r="I122" s="14" t="s">
        <v>58</v>
      </c>
      <c r="J122">
        <f t="shared" si="5"/>
        <v>80.842079999999996</v>
      </c>
      <c r="K122" t="b">
        <v>1</v>
      </c>
      <c r="L122">
        <v>1</v>
      </c>
      <c r="M122" t="s">
        <v>15</v>
      </c>
    </row>
    <row r="123" spans="1:13" ht="15.6" x14ac:dyDescent="0.35">
      <c r="A123" t="s">
        <v>69</v>
      </c>
      <c r="B123" t="s">
        <v>70</v>
      </c>
      <c r="C123">
        <v>2025</v>
      </c>
      <c r="D123" t="s">
        <v>50</v>
      </c>
      <c r="E123" s="1" t="s">
        <v>13</v>
      </c>
      <c r="F123">
        <v>479</v>
      </c>
      <c r="G123" t="s">
        <v>14</v>
      </c>
      <c r="H123" s="22">
        <v>0.34399999999999997</v>
      </c>
      <c r="I123" s="14" t="s">
        <v>58</v>
      </c>
      <c r="J123">
        <f t="shared" si="5"/>
        <v>164.77599999999998</v>
      </c>
      <c r="K123" t="b">
        <v>1</v>
      </c>
      <c r="L123">
        <v>1</v>
      </c>
      <c r="M123" t="s">
        <v>15</v>
      </c>
    </row>
    <row r="124" spans="1:13" ht="15.6" x14ac:dyDescent="0.35">
      <c r="A124" t="s">
        <v>69</v>
      </c>
      <c r="B124" t="s">
        <v>70</v>
      </c>
      <c r="C124">
        <v>2025</v>
      </c>
      <c r="D124" t="s">
        <v>50</v>
      </c>
      <c r="E124" s="1" t="s">
        <v>16</v>
      </c>
      <c r="F124">
        <v>477</v>
      </c>
      <c r="G124" t="s">
        <v>14</v>
      </c>
      <c r="H124" s="22">
        <v>0.54</v>
      </c>
      <c r="I124" s="14" t="s">
        <v>58</v>
      </c>
      <c r="J124">
        <f t="shared" si="5"/>
        <v>257.58000000000004</v>
      </c>
      <c r="K124" t="b">
        <v>0</v>
      </c>
      <c r="L124">
        <v>1</v>
      </c>
      <c r="M124" t="s">
        <v>17</v>
      </c>
    </row>
    <row r="125" spans="1:13" ht="15.6" x14ac:dyDescent="0.35">
      <c r="A125" t="s">
        <v>69</v>
      </c>
      <c r="B125" t="s">
        <v>70</v>
      </c>
      <c r="C125">
        <v>2025</v>
      </c>
      <c r="D125" t="s">
        <v>50</v>
      </c>
      <c r="E125" s="1" t="s">
        <v>18</v>
      </c>
      <c r="F125">
        <v>720</v>
      </c>
      <c r="G125" t="s">
        <v>14</v>
      </c>
      <c r="H125" s="17">
        <v>0.15311</v>
      </c>
      <c r="I125" s="16" t="s">
        <v>58</v>
      </c>
      <c r="J125">
        <f t="shared" si="5"/>
        <v>110.2392</v>
      </c>
      <c r="K125" t="b">
        <v>1</v>
      </c>
      <c r="L125">
        <v>1</v>
      </c>
      <c r="M125" t="s">
        <v>5</v>
      </c>
    </row>
    <row r="126" spans="1:13" ht="15.6" x14ac:dyDescent="0.35">
      <c r="A126" t="s">
        <v>69</v>
      </c>
      <c r="B126" t="s">
        <v>70</v>
      </c>
      <c r="C126">
        <v>2025</v>
      </c>
      <c r="D126" t="s">
        <v>50</v>
      </c>
      <c r="E126" s="1" t="s">
        <v>19</v>
      </c>
      <c r="F126">
        <v>120</v>
      </c>
      <c r="G126" t="s">
        <v>14</v>
      </c>
      <c r="H126" s="22">
        <v>0</v>
      </c>
      <c r="I126" s="14" t="s">
        <v>58</v>
      </c>
      <c r="J126">
        <f t="shared" si="5"/>
        <v>0</v>
      </c>
      <c r="K126" t="b">
        <v>0</v>
      </c>
      <c r="L126">
        <v>0</v>
      </c>
      <c r="M126" t="s">
        <v>20</v>
      </c>
    </row>
    <row r="127" spans="1:13" ht="15.6" x14ac:dyDescent="0.35">
      <c r="A127" t="s">
        <v>69</v>
      </c>
      <c r="B127" t="s">
        <v>70</v>
      </c>
      <c r="C127">
        <v>2025</v>
      </c>
      <c r="D127" t="s">
        <v>50</v>
      </c>
      <c r="E127" s="1" t="s">
        <v>67</v>
      </c>
      <c r="F127">
        <v>408</v>
      </c>
      <c r="G127" t="s">
        <v>14</v>
      </c>
      <c r="H127" s="9">
        <v>0.18573999999999999</v>
      </c>
      <c r="I127" s="16" t="s">
        <v>58</v>
      </c>
      <c r="J127">
        <f t="shared" si="5"/>
        <v>75.78192</v>
      </c>
      <c r="K127" t="b">
        <v>1</v>
      </c>
      <c r="L127">
        <v>1</v>
      </c>
      <c r="M127" t="s">
        <v>68</v>
      </c>
    </row>
    <row r="128" spans="1:13" ht="15.6" x14ac:dyDescent="0.35">
      <c r="A128" t="s">
        <v>69</v>
      </c>
      <c r="B128" t="s">
        <v>70</v>
      </c>
      <c r="C128">
        <v>2025</v>
      </c>
      <c r="D128" t="s">
        <v>50</v>
      </c>
      <c r="E128" s="1" t="s">
        <v>21</v>
      </c>
      <c r="F128">
        <v>368</v>
      </c>
      <c r="G128" t="s">
        <v>14</v>
      </c>
      <c r="H128" s="9">
        <v>0.18573999999999999</v>
      </c>
      <c r="I128" s="16" t="s">
        <v>58</v>
      </c>
      <c r="J128">
        <f t="shared" si="5"/>
        <v>68.352319999999992</v>
      </c>
      <c r="K128" t="b">
        <v>1</v>
      </c>
      <c r="L128">
        <v>1</v>
      </c>
      <c r="M128" t="s">
        <v>15</v>
      </c>
    </row>
    <row r="129" spans="1:16" ht="15.6" x14ac:dyDescent="0.35">
      <c r="A129" t="s">
        <v>69</v>
      </c>
      <c r="B129" t="s">
        <v>70</v>
      </c>
      <c r="C129">
        <v>2025</v>
      </c>
      <c r="D129" t="s">
        <v>50</v>
      </c>
      <c r="E129" s="1" t="s">
        <v>22</v>
      </c>
      <c r="F129">
        <v>250</v>
      </c>
      <c r="G129" t="s">
        <v>14</v>
      </c>
      <c r="H129" s="9">
        <v>0.18573999999999999</v>
      </c>
      <c r="I129" s="16" t="s">
        <v>58</v>
      </c>
      <c r="J129">
        <f t="shared" si="5"/>
        <v>46.434999999999995</v>
      </c>
      <c r="K129" t="b">
        <v>0</v>
      </c>
      <c r="L129">
        <v>0</v>
      </c>
      <c r="M129" t="s">
        <v>20</v>
      </c>
    </row>
    <row r="130" spans="1:16" ht="15.6" x14ac:dyDescent="0.35">
      <c r="A130" t="s">
        <v>69</v>
      </c>
      <c r="B130" t="s">
        <v>70</v>
      </c>
      <c r="C130">
        <v>2025</v>
      </c>
      <c r="D130" t="s">
        <v>50</v>
      </c>
      <c r="E130" s="1" t="s">
        <v>23</v>
      </c>
      <c r="F130">
        <v>595</v>
      </c>
      <c r="G130" t="s">
        <v>14</v>
      </c>
      <c r="H130" s="9">
        <v>0.18573999999999999</v>
      </c>
      <c r="I130" s="16" t="s">
        <v>58</v>
      </c>
      <c r="J130">
        <f t="shared" si="5"/>
        <v>110.5153</v>
      </c>
      <c r="K130" t="b">
        <v>1</v>
      </c>
      <c r="L130">
        <v>1</v>
      </c>
      <c r="M130" t="s">
        <v>5</v>
      </c>
    </row>
    <row r="132" spans="1:16" ht="15.6" x14ac:dyDescent="0.35">
      <c r="A132" t="s">
        <v>69</v>
      </c>
      <c r="B132" t="s">
        <v>70</v>
      </c>
      <c r="C132">
        <v>2025</v>
      </c>
      <c r="D132" t="s">
        <v>51</v>
      </c>
      <c r="E132" t="s">
        <v>3</v>
      </c>
      <c r="F132">
        <v>2273</v>
      </c>
      <c r="G132" t="s">
        <v>4</v>
      </c>
      <c r="H132" s="15">
        <v>0.20263999999999999</v>
      </c>
      <c r="I132" s="14" t="s">
        <v>58</v>
      </c>
      <c r="J132">
        <f>(F132*H132)</f>
        <v>460.60071999999997</v>
      </c>
      <c r="K132" t="b">
        <v>1</v>
      </c>
      <c r="L132">
        <v>1</v>
      </c>
      <c r="M132" t="s">
        <v>5</v>
      </c>
      <c r="O132">
        <f>(J132+J133+J134+J135+J139+J142+J143+J144+J147+J148+J149+J150)</f>
        <v>1644.6040499999999</v>
      </c>
      <c r="P132">
        <f>(J137+J140+J141+J145)</f>
        <v>1603.7873099999999</v>
      </c>
    </row>
    <row r="133" spans="1:16" ht="15.6" x14ac:dyDescent="0.35">
      <c r="A133" t="s">
        <v>69</v>
      </c>
      <c r="B133" t="s">
        <v>70</v>
      </c>
      <c r="C133">
        <v>2025</v>
      </c>
      <c r="D133" t="s">
        <v>51</v>
      </c>
      <c r="E133" t="s">
        <v>6</v>
      </c>
      <c r="F133">
        <v>569</v>
      </c>
      <c r="G133" t="s">
        <v>4</v>
      </c>
      <c r="H133" s="15">
        <v>0.26807999999999998</v>
      </c>
      <c r="I133" s="14" t="s">
        <v>58</v>
      </c>
      <c r="J133">
        <f t="shared" ref="J133:J150" si="6">(F133*H133)</f>
        <v>152.53752</v>
      </c>
      <c r="K133" t="b">
        <v>1</v>
      </c>
      <c r="L133">
        <v>1</v>
      </c>
      <c r="M133" t="s">
        <v>5</v>
      </c>
    </row>
    <row r="134" spans="1:16" ht="15.6" x14ac:dyDescent="0.35">
      <c r="A134" t="s">
        <v>69</v>
      </c>
      <c r="B134" t="s">
        <v>70</v>
      </c>
      <c r="C134">
        <v>2025</v>
      </c>
      <c r="D134" t="s">
        <v>51</v>
      </c>
      <c r="E134" t="s">
        <v>7</v>
      </c>
      <c r="F134">
        <v>1000</v>
      </c>
      <c r="G134" t="s">
        <v>4</v>
      </c>
      <c r="H134" s="15">
        <v>0.23030999999999999</v>
      </c>
      <c r="I134" s="14" t="s">
        <v>58</v>
      </c>
      <c r="J134">
        <f t="shared" si="6"/>
        <v>230.30999999999997</v>
      </c>
      <c r="K134" t="b">
        <v>1</v>
      </c>
      <c r="L134">
        <v>1</v>
      </c>
      <c r="M134" t="s">
        <v>5</v>
      </c>
    </row>
    <row r="135" spans="1:16" ht="15.6" x14ac:dyDescent="0.35">
      <c r="A135" t="s">
        <v>69</v>
      </c>
      <c r="B135" t="s">
        <v>70</v>
      </c>
      <c r="C135">
        <v>2025</v>
      </c>
      <c r="D135" t="s">
        <v>51</v>
      </c>
      <c r="E135" t="s">
        <v>62</v>
      </c>
      <c r="F135">
        <v>860</v>
      </c>
      <c r="G135" t="s">
        <v>4</v>
      </c>
      <c r="H135" s="8">
        <v>1.132E-2</v>
      </c>
      <c r="I135" s="14" t="s">
        <v>58</v>
      </c>
      <c r="J135">
        <f t="shared" si="6"/>
        <v>9.7352000000000007</v>
      </c>
      <c r="K135" t="b">
        <v>1</v>
      </c>
      <c r="L135">
        <v>1</v>
      </c>
      <c r="M135" t="s">
        <v>5</v>
      </c>
    </row>
    <row r="136" spans="1:16" ht="15.6" x14ac:dyDescent="0.35">
      <c r="A136" t="s">
        <v>69</v>
      </c>
      <c r="B136" t="s">
        <v>70</v>
      </c>
      <c r="C136">
        <v>2025</v>
      </c>
      <c r="D136" t="s">
        <v>51</v>
      </c>
      <c r="E136" t="s">
        <v>8</v>
      </c>
      <c r="F136">
        <v>2439</v>
      </c>
      <c r="G136" t="s">
        <v>4</v>
      </c>
      <c r="H136" s="19">
        <v>0</v>
      </c>
      <c r="I136" s="14" t="s">
        <v>58</v>
      </c>
      <c r="J136">
        <f t="shared" si="6"/>
        <v>0</v>
      </c>
      <c r="K136" t="b">
        <v>1</v>
      </c>
      <c r="L136">
        <v>1</v>
      </c>
      <c r="M136" t="s">
        <v>9</v>
      </c>
    </row>
    <row r="137" spans="1:16" ht="15.6" x14ac:dyDescent="0.35">
      <c r="A137" t="s">
        <v>69</v>
      </c>
      <c r="B137" t="s">
        <v>70</v>
      </c>
      <c r="C137">
        <v>2025</v>
      </c>
      <c r="D137" t="s">
        <v>51</v>
      </c>
      <c r="E137" t="s">
        <v>10</v>
      </c>
      <c r="F137">
        <v>6564</v>
      </c>
      <c r="G137" t="s">
        <v>4</v>
      </c>
      <c r="H137" s="15">
        <v>0.20705000000000001</v>
      </c>
      <c r="I137" s="14" t="s">
        <v>58</v>
      </c>
      <c r="J137">
        <f t="shared" si="6"/>
        <v>1359.0762</v>
      </c>
      <c r="K137" t="b">
        <v>1</v>
      </c>
      <c r="L137">
        <v>1</v>
      </c>
      <c r="M137" t="s">
        <v>5</v>
      </c>
    </row>
    <row r="138" spans="1:16" ht="15.6" x14ac:dyDescent="0.35">
      <c r="A138" t="s">
        <v>69</v>
      </c>
      <c r="B138" t="s">
        <v>70</v>
      </c>
      <c r="C138">
        <v>2025</v>
      </c>
      <c r="D138" t="s">
        <v>51</v>
      </c>
      <c r="E138" t="s">
        <v>63</v>
      </c>
      <c r="F138">
        <v>242</v>
      </c>
      <c r="G138" t="s">
        <v>4</v>
      </c>
      <c r="H138" s="20">
        <v>0</v>
      </c>
      <c r="I138" s="14" t="s">
        <v>58</v>
      </c>
      <c r="J138">
        <f t="shared" si="6"/>
        <v>0</v>
      </c>
      <c r="K138" t="b">
        <v>1</v>
      </c>
      <c r="L138">
        <v>1</v>
      </c>
      <c r="M138" t="s">
        <v>64</v>
      </c>
    </row>
    <row r="139" spans="1:16" ht="15.6" x14ac:dyDescent="0.35">
      <c r="A139" t="s">
        <v>69</v>
      </c>
      <c r="B139" t="s">
        <v>70</v>
      </c>
      <c r="C139">
        <v>2025</v>
      </c>
      <c r="D139" t="s">
        <v>51</v>
      </c>
      <c r="E139" t="s">
        <v>65</v>
      </c>
      <c r="F139">
        <v>54</v>
      </c>
      <c r="G139" t="s">
        <v>4</v>
      </c>
      <c r="H139" s="21">
        <v>0.20705000000000001</v>
      </c>
      <c r="I139" s="14" t="s">
        <v>58</v>
      </c>
      <c r="J139">
        <f t="shared" si="6"/>
        <v>11.1807</v>
      </c>
      <c r="K139" t="b">
        <v>1</v>
      </c>
      <c r="L139">
        <v>1</v>
      </c>
      <c r="M139" t="s">
        <v>64</v>
      </c>
    </row>
    <row r="140" spans="1:16" ht="15.6" x14ac:dyDescent="0.35">
      <c r="A140" t="s">
        <v>69</v>
      </c>
      <c r="B140" t="s">
        <v>70</v>
      </c>
      <c r="C140">
        <v>2025</v>
      </c>
      <c r="D140" t="s">
        <v>51</v>
      </c>
      <c r="E140" t="s">
        <v>11</v>
      </c>
      <c r="F140">
        <v>168</v>
      </c>
      <c r="G140" t="s">
        <v>4</v>
      </c>
      <c r="H140" s="8">
        <v>0.20263999999999999</v>
      </c>
      <c r="I140" s="14" t="s">
        <v>58</v>
      </c>
      <c r="J140">
        <f t="shared" si="6"/>
        <v>34.043520000000001</v>
      </c>
      <c r="K140" t="b">
        <v>1</v>
      </c>
      <c r="L140">
        <v>1</v>
      </c>
      <c r="M140" t="s">
        <v>5</v>
      </c>
    </row>
    <row r="141" spans="1:16" ht="15.6" x14ac:dyDescent="0.35">
      <c r="A141" t="s">
        <v>69</v>
      </c>
      <c r="B141" t="s">
        <v>70</v>
      </c>
      <c r="C141">
        <v>2025</v>
      </c>
      <c r="D141" t="s">
        <v>51</v>
      </c>
      <c r="E141" t="s">
        <v>12</v>
      </c>
      <c r="F141">
        <v>513</v>
      </c>
      <c r="G141" t="s">
        <v>4</v>
      </c>
      <c r="H141" s="12">
        <v>0.17965</v>
      </c>
      <c r="I141" s="14" t="s">
        <v>58</v>
      </c>
      <c r="J141">
        <f t="shared" si="6"/>
        <v>92.160449999999997</v>
      </c>
      <c r="K141" t="b">
        <v>1</v>
      </c>
      <c r="L141">
        <v>1</v>
      </c>
      <c r="M141" t="s">
        <v>5</v>
      </c>
    </row>
    <row r="142" spans="1:16" ht="15.6" x14ac:dyDescent="0.35">
      <c r="A142" t="s">
        <v>69</v>
      </c>
      <c r="B142" t="s">
        <v>70</v>
      </c>
      <c r="C142">
        <v>2025</v>
      </c>
      <c r="D142" t="s">
        <v>51</v>
      </c>
      <c r="E142" s="1" t="s">
        <v>66</v>
      </c>
      <c r="F142">
        <v>555</v>
      </c>
      <c r="G142" t="s">
        <v>14</v>
      </c>
      <c r="H142" s="17">
        <v>0.15311</v>
      </c>
      <c r="I142" s="14" t="s">
        <v>58</v>
      </c>
      <c r="J142">
        <f t="shared" si="6"/>
        <v>84.976050000000001</v>
      </c>
      <c r="K142" t="b">
        <v>1</v>
      </c>
      <c r="L142">
        <v>1</v>
      </c>
      <c r="M142" t="s">
        <v>15</v>
      </c>
    </row>
    <row r="143" spans="1:16" ht="15.6" x14ac:dyDescent="0.35">
      <c r="A143" t="s">
        <v>69</v>
      </c>
      <c r="B143" t="s">
        <v>70</v>
      </c>
      <c r="C143">
        <v>2025</v>
      </c>
      <c r="D143" t="s">
        <v>51</v>
      </c>
      <c r="E143" s="1" t="s">
        <v>13</v>
      </c>
      <c r="F143">
        <v>469</v>
      </c>
      <c r="G143" t="s">
        <v>14</v>
      </c>
      <c r="H143" s="22">
        <v>0.34399999999999997</v>
      </c>
      <c r="I143" s="14" t="s">
        <v>58</v>
      </c>
      <c r="J143">
        <f t="shared" si="6"/>
        <v>161.33599999999998</v>
      </c>
      <c r="K143" t="b">
        <v>1</v>
      </c>
      <c r="L143">
        <v>1</v>
      </c>
      <c r="M143" t="s">
        <v>15</v>
      </c>
    </row>
    <row r="144" spans="1:16" ht="15.6" x14ac:dyDescent="0.35">
      <c r="A144" t="s">
        <v>69</v>
      </c>
      <c r="B144" t="s">
        <v>70</v>
      </c>
      <c r="C144">
        <v>2025</v>
      </c>
      <c r="D144" t="s">
        <v>51</v>
      </c>
      <c r="E144" s="1" t="s">
        <v>16</v>
      </c>
      <c r="F144">
        <v>425</v>
      </c>
      <c r="G144" t="s">
        <v>14</v>
      </c>
      <c r="H144" s="22">
        <v>0.54</v>
      </c>
      <c r="I144" s="14" t="s">
        <v>58</v>
      </c>
      <c r="J144">
        <f t="shared" si="6"/>
        <v>229.50000000000003</v>
      </c>
      <c r="K144" t="b">
        <v>0</v>
      </c>
      <c r="L144">
        <v>1</v>
      </c>
      <c r="M144" t="s">
        <v>17</v>
      </c>
    </row>
    <row r="145" spans="1:16" ht="15.6" x14ac:dyDescent="0.35">
      <c r="A145" t="s">
        <v>69</v>
      </c>
      <c r="B145" t="s">
        <v>70</v>
      </c>
      <c r="C145">
        <v>2025</v>
      </c>
      <c r="D145" t="s">
        <v>51</v>
      </c>
      <c r="E145" s="1" t="s">
        <v>18</v>
      </c>
      <c r="F145">
        <v>774</v>
      </c>
      <c r="G145" t="s">
        <v>14</v>
      </c>
      <c r="H145" s="17">
        <v>0.15311</v>
      </c>
      <c r="I145" s="16" t="s">
        <v>58</v>
      </c>
      <c r="J145">
        <f t="shared" si="6"/>
        <v>118.50713999999999</v>
      </c>
      <c r="K145" t="b">
        <v>1</v>
      </c>
      <c r="L145">
        <v>1</v>
      </c>
      <c r="M145" t="s">
        <v>5</v>
      </c>
    </row>
    <row r="146" spans="1:16" ht="15.6" x14ac:dyDescent="0.35">
      <c r="A146" t="s">
        <v>69</v>
      </c>
      <c r="B146" t="s">
        <v>70</v>
      </c>
      <c r="C146">
        <v>2025</v>
      </c>
      <c r="D146" t="s">
        <v>51</v>
      </c>
      <c r="E146" s="1" t="s">
        <v>19</v>
      </c>
      <c r="F146">
        <v>88</v>
      </c>
      <c r="G146" t="s">
        <v>14</v>
      </c>
      <c r="H146" s="22">
        <v>0</v>
      </c>
      <c r="I146" s="14" t="s">
        <v>58</v>
      </c>
      <c r="J146">
        <f t="shared" si="6"/>
        <v>0</v>
      </c>
      <c r="K146" t="b">
        <v>0</v>
      </c>
      <c r="L146">
        <v>0</v>
      </c>
      <c r="M146" t="s">
        <v>20</v>
      </c>
    </row>
    <row r="147" spans="1:16" ht="15.6" x14ac:dyDescent="0.35">
      <c r="A147" t="s">
        <v>69</v>
      </c>
      <c r="B147" t="s">
        <v>70</v>
      </c>
      <c r="C147">
        <v>2025</v>
      </c>
      <c r="D147" t="s">
        <v>51</v>
      </c>
      <c r="E147" s="1" t="s">
        <v>67</v>
      </c>
      <c r="F147">
        <v>464</v>
      </c>
      <c r="G147" t="s">
        <v>14</v>
      </c>
      <c r="H147" s="9">
        <v>0.18573999999999999</v>
      </c>
      <c r="I147" s="16" t="s">
        <v>58</v>
      </c>
      <c r="J147">
        <f t="shared" si="6"/>
        <v>86.183359999999993</v>
      </c>
      <c r="K147" t="b">
        <v>1</v>
      </c>
      <c r="L147">
        <v>1</v>
      </c>
      <c r="M147" t="s">
        <v>68</v>
      </c>
    </row>
    <row r="148" spans="1:16" ht="15.6" x14ac:dyDescent="0.35">
      <c r="A148" t="s">
        <v>69</v>
      </c>
      <c r="B148" t="s">
        <v>70</v>
      </c>
      <c r="C148">
        <v>2025</v>
      </c>
      <c r="D148" t="s">
        <v>51</v>
      </c>
      <c r="E148" s="1" t="s">
        <v>21</v>
      </c>
      <c r="F148">
        <v>345</v>
      </c>
      <c r="G148" t="s">
        <v>14</v>
      </c>
      <c r="H148" s="9">
        <v>0.18573999999999999</v>
      </c>
      <c r="I148" s="16" t="s">
        <v>58</v>
      </c>
      <c r="J148">
        <f t="shared" si="6"/>
        <v>64.080299999999994</v>
      </c>
      <c r="K148" t="b">
        <v>1</v>
      </c>
      <c r="L148">
        <v>1</v>
      </c>
      <c r="M148" t="s">
        <v>15</v>
      </c>
    </row>
    <row r="149" spans="1:16" ht="15.6" x14ac:dyDescent="0.35">
      <c r="A149" t="s">
        <v>69</v>
      </c>
      <c r="B149" t="s">
        <v>70</v>
      </c>
      <c r="C149">
        <v>2025</v>
      </c>
      <c r="D149" t="s">
        <v>51</v>
      </c>
      <c r="E149" s="1" t="s">
        <v>22</v>
      </c>
      <c r="F149">
        <v>263</v>
      </c>
      <c r="G149" t="s">
        <v>14</v>
      </c>
      <c r="H149" s="9">
        <v>0.18573999999999999</v>
      </c>
      <c r="I149" s="16" t="s">
        <v>58</v>
      </c>
      <c r="J149">
        <f t="shared" si="6"/>
        <v>48.849619999999994</v>
      </c>
      <c r="K149" t="b">
        <v>0</v>
      </c>
      <c r="L149">
        <v>0</v>
      </c>
      <c r="M149" t="s">
        <v>20</v>
      </c>
    </row>
    <row r="150" spans="1:16" ht="15.6" x14ac:dyDescent="0.35">
      <c r="A150" t="s">
        <v>69</v>
      </c>
      <c r="B150" t="s">
        <v>70</v>
      </c>
      <c r="C150">
        <v>2025</v>
      </c>
      <c r="D150" t="s">
        <v>51</v>
      </c>
      <c r="E150" s="1" t="s">
        <v>23</v>
      </c>
      <c r="F150">
        <v>567</v>
      </c>
      <c r="G150" t="s">
        <v>14</v>
      </c>
      <c r="H150" s="9">
        <v>0.18573999999999999</v>
      </c>
      <c r="I150" s="16" t="s">
        <v>58</v>
      </c>
      <c r="J150">
        <f t="shared" si="6"/>
        <v>105.31457999999999</v>
      </c>
      <c r="K150" t="b">
        <v>1</v>
      </c>
      <c r="L150">
        <v>1</v>
      </c>
      <c r="M150" t="s">
        <v>5</v>
      </c>
    </row>
    <row r="152" spans="1:16" ht="15.6" x14ac:dyDescent="0.35">
      <c r="A152" t="s">
        <v>69</v>
      </c>
      <c r="B152" t="s">
        <v>70</v>
      </c>
      <c r="C152">
        <v>2025</v>
      </c>
      <c r="D152" t="s">
        <v>52</v>
      </c>
      <c r="E152" t="s">
        <v>3</v>
      </c>
      <c r="F152">
        <v>3471</v>
      </c>
      <c r="G152" t="s">
        <v>4</v>
      </c>
      <c r="H152" s="15">
        <v>0.20263999999999999</v>
      </c>
      <c r="I152" s="14" t="s">
        <v>58</v>
      </c>
      <c r="J152">
        <f>(F152*H152)</f>
        <v>703.36343999999997</v>
      </c>
      <c r="K152" t="b">
        <v>1</v>
      </c>
      <c r="L152">
        <v>1</v>
      </c>
      <c r="M152" t="s">
        <v>5</v>
      </c>
      <c r="O152">
        <f>(J152+J153+J154+J155+J159+J162+J163+J164+J167+J168+J169+J170)</f>
        <v>1657.44291</v>
      </c>
      <c r="P152">
        <f>(J157+J160+J161+J165)</f>
        <v>1030.1895</v>
      </c>
    </row>
    <row r="153" spans="1:16" ht="15.6" x14ac:dyDescent="0.35">
      <c r="A153" t="s">
        <v>69</v>
      </c>
      <c r="B153" t="s">
        <v>70</v>
      </c>
      <c r="C153">
        <v>2025</v>
      </c>
      <c r="D153" t="s">
        <v>52</v>
      </c>
      <c r="E153" t="s">
        <v>6</v>
      </c>
      <c r="F153">
        <v>458</v>
      </c>
      <c r="G153" t="s">
        <v>4</v>
      </c>
      <c r="H153" s="15">
        <v>0.26807999999999998</v>
      </c>
      <c r="I153" s="14" t="s">
        <v>58</v>
      </c>
      <c r="J153">
        <f t="shared" ref="J153:J170" si="7">(F153*H153)</f>
        <v>122.78063999999999</v>
      </c>
      <c r="K153" t="b">
        <v>1</v>
      </c>
      <c r="L153">
        <v>1</v>
      </c>
      <c r="M153" t="s">
        <v>5</v>
      </c>
    </row>
    <row r="154" spans="1:16" ht="15.6" x14ac:dyDescent="0.35">
      <c r="A154" t="s">
        <v>69</v>
      </c>
      <c r="B154" t="s">
        <v>70</v>
      </c>
      <c r="C154">
        <v>2025</v>
      </c>
      <c r="D154" t="s">
        <v>52</v>
      </c>
      <c r="E154" t="s">
        <v>7</v>
      </c>
      <c r="F154">
        <v>125</v>
      </c>
      <c r="G154" t="s">
        <v>4</v>
      </c>
      <c r="H154" s="15">
        <v>0.23030999999999999</v>
      </c>
      <c r="I154" s="14" t="s">
        <v>58</v>
      </c>
      <c r="J154">
        <f t="shared" si="7"/>
        <v>28.788749999999997</v>
      </c>
      <c r="K154" t="b">
        <v>1</v>
      </c>
      <c r="L154">
        <v>1</v>
      </c>
      <c r="M154" t="s">
        <v>5</v>
      </c>
    </row>
    <row r="155" spans="1:16" ht="15.6" x14ac:dyDescent="0.35">
      <c r="A155" t="s">
        <v>69</v>
      </c>
      <c r="B155" t="s">
        <v>70</v>
      </c>
      <c r="C155">
        <v>2025</v>
      </c>
      <c r="D155" t="s">
        <v>52</v>
      </c>
      <c r="E155" t="s">
        <v>62</v>
      </c>
      <c r="F155">
        <v>844</v>
      </c>
      <c r="G155" t="s">
        <v>4</v>
      </c>
      <c r="H155" s="8">
        <v>1.132E-2</v>
      </c>
      <c r="I155" s="14" t="s">
        <v>58</v>
      </c>
      <c r="J155">
        <f t="shared" si="7"/>
        <v>9.5540800000000008</v>
      </c>
      <c r="K155" t="b">
        <v>1</v>
      </c>
      <c r="L155">
        <v>1</v>
      </c>
      <c r="M155" t="s">
        <v>5</v>
      </c>
    </row>
    <row r="156" spans="1:16" ht="15.6" x14ac:dyDescent="0.35">
      <c r="A156" t="s">
        <v>69</v>
      </c>
      <c r="B156" t="s">
        <v>70</v>
      </c>
      <c r="C156">
        <v>2025</v>
      </c>
      <c r="D156" t="s">
        <v>52</v>
      </c>
      <c r="E156" t="s">
        <v>8</v>
      </c>
      <c r="F156">
        <v>3249</v>
      </c>
      <c r="G156" t="s">
        <v>4</v>
      </c>
      <c r="H156" s="19">
        <v>0</v>
      </c>
      <c r="I156" s="14" t="s">
        <v>58</v>
      </c>
      <c r="J156">
        <f t="shared" si="7"/>
        <v>0</v>
      </c>
      <c r="K156" t="b">
        <v>1</v>
      </c>
      <c r="L156">
        <v>1</v>
      </c>
      <c r="M156" t="s">
        <v>9</v>
      </c>
    </row>
    <row r="157" spans="1:16" ht="15.6" x14ac:dyDescent="0.35">
      <c r="A157" t="s">
        <v>69</v>
      </c>
      <c r="B157" t="s">
        <v>70</v>
      </c>
      <c r="C157">
        <v>2025</v>
      </c>
      <c r="D157" t="s">
        <v>52</v>
      </c>
      <c r="E157" t="s">
        <v>10</v>
      </c>
      <c r="F157">
        <v>3774</v>
      </c>
      <c r="G157" t="s">
        <v>4</v>
      </c>
      <c r="H157" s="15">
        <v>0.20705000000000001</v>
      </c>
      <c r="I157" s="14" t="s">
        <v>58</v>
      </c>
      <c r="J157">
        <f t="shared" si="7"/>
        <v>781.4067</v>
      </c>
      <c r="K157" t="b">
        <v>1</v>
      </c>
      <c r="L157">
        <v>1</v>
      </c>
      <c r="M157" t="s">
        <v>5</v>
      </c>
    </row>
    <row r="158" spans="1:16" ht="15.6" x14ac:dyDescent="0.35">
      <c r="A158" t="s">
        <v>69</v>
      </c>
      <c r="B158" t="s">
        <v>70</v>
      </c>
      <c r="C158">
        <v>2025</v>
      </c>
      <c r="D158" t="s">
        <v>52</v>
      </c>
      <c r="E158" t="s">
        <v>63</v>
      </c>
      <c r="F158">
        <v>1654</v>
      </c>
      <c r="G158" t="s">
        <v>4</v>
      </c>
      <c r="H158" s="20">
        <v>0</v>
      </c>
      <c r="I158" s="14" t="s">
        <v>58</v>
      </c>
      <c r="J158">
        <f t="shared" si="7"/>
        <v>0</v>
      </c>
      <c r="K158" t="b">
        <v>1</v>
      </c>
      <c r="L158">
        <v>1</v>
      </c>
      <c r="M158" t="s">
        <v>64</v>
      </c>
    </row>
    <row r="159" spans="1:16" ht="15.6" x14ac:dyDescent="0.35">
      <c r="A159" t="s">
        <v>69</v>
      </c>
      <c r="B159" t="s">
        <v>70</v>
      </c>
      <c r="C159">
        <v>2025</v>
      </c>
      <c r="D159" t="s">
        <v>52</v>
      </c>
      <c r="E159" t="s">
        <v>65</v>
      </c>
      <c r="F159">
        <v>30</v>
      </c>
      <c r="G159" t="s">
        <v>4</v>
      </c>
      <c r="H159" s="21">
        <v>0.20705000000000001</v>
      </c>
      <c r="I159" s="14" t="s">
        <v>58</v>
      </c>
      <c r="J159">
        <f t="shared" si="7"/>
        <v>6.2115</v>
      </c>
      <c r="K159" t="b">
        <v>1</v>
      </c>
      <c r="L159">
        <v>1</v>
      </c>
      <c r="M159" t="s">
        <v>64</v>
      </c>
    </row>
    <row r="160" spans="1:16" ht="15.6" x14ac:dyDescent="0.35">
      <c r="A160" t="s">
        <v>69</v>
      </c>
      <c r="B160" t="s">
        <v>70</v>
      </c>
      <c r="C160">
        <v>2025</v>
      </c>
      <c r="D160" t="s">
        <v>52</v>
      </c>
      <c r="E160" t="s">
        <v>11</v>
      </c>
      <c r="F160">
        <v>166</v>
      </c>
      <c r="G160" t="s">
        <v>4</v>
      </c>
      <c r="H160" s="8">
        <v>0.20263999999999999</v>
      </c>
      <c r="I160" s="14" t="s">
        <v>58</v>
      </c>
      <c r="J160">
        <f t="shared" si="7"/>
        <v>33.638239999999996</v>
      </c>
      <c r="K160" t="b">
        <v>1</v>
      </c>
      <c r="L160">
        <v>1</v>
      </c>
      <c r="M160" t="s">
        <v>5</v>
      </c>
    </row>
    <row r="161" spans="1:16" ht="15.6" x14ac:dyDescent="0.35">
      <c r="A161" t="s">
        <v>69</v>
      </c>
      <c r="B161" t="s">
        <v>70</v>
      </c>
      <c r="C161">
        <v>2025</v>
      </c>
      <c r="D161" t="s">
        <v>52</v>
      </c>
      <c r="E161" t="s">
        <v>12</v>
      </c>
      <c r="F161">
        <v>549</v>
      </c>
      <c r="G161" t="s">
        <v>4</v>
      </c>
      <c r="H161" s="12">
        <v>0.17965</v>
      </c>
      <c r="I161" s="14" t="s">
        <v>58</v>
      </c>
      <c r="J161">
        <f t="shared" si="7"/>
        <v>98.627850000000009</v>
      </c>
      <c r="K161" t="b">
        <v>1</v>
      </c>
      <c r="L161">
        <v>1</v>
      </c>
      <c r="M161" t="s">
        <v>5</v>
      </c>
    </row>
    <row r="162" spans="1:16" ht="15.6" x14ac:dyDescent="0.35">
      <c r="A162" t="s">
        <v>69</v>
      </c>
      <c r="B162" t="s">
        <v>70</v>
      </c>
      <c r="C162">
        <v>2025</v>
      </c>
      <c r="D162" t="s">
        <v>52</v>
      </c>
      <c r="E162" s="1" t="s">
        <v>66</v>
      </c>
      <c r="F162">
        <v>530</v>
      </c>
      <c r="G162" t="s">
        <v>14</v>
      </c>
      <c r="H162" s="17">
        <v>0.15311</v>
      </c>
      <c r="I162" s="14" t="s">
        <v>58</v>
      </c>
      <c r="J162">
        <f t="shared" si="7"/>
        <v>81.148299999999992</v>
      </c>
      <c r="K162" t="b">
        <v>1</v>
      </c>
      <c r="L162">
        <v>1</v>
      </c>
      <c r="M162" t="s">
        <v>15</v>
      </c>
    </row>
    <row r="163" spans="1:16" ht="15.6" x14ac:dyDescent="0.35">
      <c r="A163" t="s">
        <v>69</v>
      </c>
      <c r="B163" t="s">
        <v>70</v>
      </c>
      <c r="C163">
        <v>2025</v>
      </c>
      <c r="D163" t="s">
        <v>52</v>
      </c>
      <c r="E163" s="1" t="s">
        <v>13</v>
      </c>
      <c r="F163">
        <v>405</v>
      </c>
      <c r="G163" t="s">
        <v>14</v>
      </c>
      <c r="H163" s="22">
        <v>0.34399999999999997</v>
      </c>
      <c r="I163" s="14" t="s">
        <v>58</v>
      </c>
      <c r="J163">
        <f t="shared" si="7"/>
        <v>139.32</v>
      </c>
      <c r="K163" t="b">
        <v>1</v>
      </c>
      <c r="L163">
        <v>1</v>
      </c>
      <c r="M163" t="s">
        <v>15</v>
      </c>
    </row>
    <row r="164" spans="1:16" ht="15.6" x14ac:dyDescent="0.35">
      <c r="A164" t="s">
        <v>69</v>
      </c>
      <c r="B164" t="s">
        <v>70</v>
      </c>
      <c r="C164">
        <v>2025</v>
      </c>
      <c r="D164" t="s">
        <v>52</v>
      </c>
      <c r="E164" s="1" t="s">
        <v>16</v>
      </c>
      <c r="F164">
        <v>488</v>
      </c>
      <c r="G164" t="s">
        <v>14</v>
      </c>
      <c r="H164" s="22">
        <v>0.54</v>
      </c>
      <c r="I164" s="14" t="s">
        <v>58</v>
      </c>
      <c r="J164">
        <f t="shared" si="7"/>
        <v>263.52000000000004</v>
      </c>
      <c r="K164" t="b">
        <v>0</v>
      </c>
      <c r="L164">
        <v>1</v>
      </c>
      <c r="M164" t="s">
        <v>17</v>
      </c>
    </row>
    <row r="165" spans="1:16" ht="15.6" x14ac:dyDescent="0.35">
      <c r="A165" t="s">
        <v>69</v>
      </c>
      <c r="B165" t="s">
        <v>70</v>
      </c>
      <c r="C165">
        <v>2025</v>
      </c>
      <c r="D165" t="s">
        <v>52</v>
      </c>
      <c r="E165" s="1" t="s">
        <v>18</v>
      </c>
      <c r="F165">
        <v>761</v>
      </c>
      <c r="G165" t="s">
        <v>14</v>
      </c>
      <c r="H165" s="17">
        <v>0.15311</v>
      </c>
      <c r="I165" s="16" t="s">
        <v>58</v>
      </c>
      <c r="J165">
        <f t="shared" si="7"/>
        <v>116.51671</v>
      </c>
      <c r="K165" t="b">
        <v>1</v>
      </c>
      <c r="L165">
        <v>1</v>
      </c>
      <c r="M165" t="s">
        <v>5</v>
      </c>
    </row>
    <row r="166" spans="1:16" ht="15.6" x14ac:dyDescent="0.35">
      <c r="A166" t="s">
        <v>69</v>
      </c>
      <c r="B166" t="s">
        <v>70</v>
      </c>
      <c r="C166">
        <v>2025</v>
      </c>
      <c r="D166" t="s">
        <v>52</v>
      </c>
      <c r="E166" s="1" t="s">
        <v>19</v>
      </c>
      <c r="F166">
        <v>167</v>
      </c>
      <c r="G166" t="s">
        <v>14</v>
      </c>
      <c r="H166" s="22">
        <v>0</v>
      </c>
      <c r="I166" s="14" t="s">
        <v>58</v>
      </c>
      <c r="J166">
        <f t="shared" si="7"/>
        <v>0</v>
      </c>
      <c r="K166" t="b">
        <v>0</v>
      </c>
      <c r="L166">
        <v>0</v>
      </c>
      <c r="M166" t="s">
        <v>20</v>
      </c>
    </row>
    <row r="167" spans="1:16" ht="15.6" x14ac:dyDescent="0.35">
      <c r="A167" t="s">
        <v>69</v>
      </c>
      <c r="B167" t="s">
        <v>70</v>
      </c>
      <c r="C167">
        <v>2025</v>
      </c>
      <c r="D167" t="s">
        <v>52</v>
      </c>
      <c r="E167" s="1" t="s">
        <v>67</v>
      </c>
      <c r="F167">
        <v>450</v>
      </c>
      <c r="G167" t="s">
        <v>14</v>
      </c>
      <c r="H167" s="9">
        <v>0.18573999999999999</v>
      </c>
      <c r="I167" s="16" t="s">
        <v>58</v>
      </c>
      <c r="J167">
        <f t="shared" si="7"/>
        <v>83.582999999999998</v>
      </c>
      <c r="K167" t="b">
        <v>1</v>
      </c>
      <c r="L167">
        <v>1</v>
      </c>
      <c r="M167" t="s">
        <v>68</v>
      </c>
    </row>
    <row r="168" spans="1:16" ht="15.6" x14ac:dyDescent="0.35">
      <c r="A168" t="s">
        <v>69</v>
      </c>
      <c r="B168" t="s">
        <v>70</v>
      </c>
      <c r="C168">
        <v>2025</v>
      </c>
      <c r="D168" t="s">
        <v>52</v>
      </c>
      <c r="E168" s="1" t="s">
        <v>21</v>
      </c>
      <c r="F168">
        <v>299</v>
      </c>
      <c r="G168" t="s">
        <v>14</v>
      </c>
      <c r="H168" s="9">
        <v>0.18573999999999999</v>
      </c>
      <c r="I168" s="16" t="s">
        <v>58</v>
      </c>
      <c r="J168">
        <f t="shared" si="7"/>
        <v>55.536259999999999</v>
      </c>
      <c r="K168" t="b">
        <v>1</v>
      </c>
      <c r="L168">
        <v>1</v>
      </c>
      <c r="M168" t="s">
        <v>15</v>
      </c>
    </row>
    <row r="169" spans="1:16" ht="15.6" x14ac:dyDescent="0.35">
      <c r="A169" t="s">
        <v>69</v>
      </c>
      <c r="B169" t="s">
        <v>70</v>
      </c>
      <c r="C169">
        <v>2025</v>
      </c>
      <c r="D169" t="s">
        <v>52</v>
      </c>
      <c r="E169" s="1" t="s">
        <v>22</v>
      </c>
      <c r="F169">
        <v>287</v>
      </c>
      <c r="G169" t="s">
        <v>14</v>
      </c>
      <c r="H169" s="9">
        <v>0.18573999999999999</v>
      </c>
      <c r="I169" s="16" t="s">
        <v>58</v>
      </c>
      <c r="J169">
        <f t="shared" si="7"/>
        <v>53.307379999999995</v>
      </c>
      <c r="K169" t="b">
        <v>0</v>
      </c>
      <c r="L169">
        <v>0</v>
      </c>
      <c r="M169" t="s">
        <v>20</v>
      </c>
    </row>
    <row r="170" spans="1:16" ht="15.6" x14ac:dyDescent="0.35">
      <c r="A170" t="s">
        <v>69</v>
      </c>
      <c r="B170" t="s">
        <v>70</v>
      </c>
      <c r="C170">
        <v>2025</v>
      </c>
      <c r="D170" t="s">
        <v>52</v>
      </c>
      <c r="E170" s="1" t="s">
        <v>23</v>
      </c>
      <c r="F170">
        <v>594</v>
      </c>
      <c r="G170" t="s">
        <v>14</v>
      </c>
      <c r="H170" s="9">
        <v>0.18573999999999999</v>
      </c>
      <c r="I170" s="16" t="s">
        <v>58</v>
      </c>
      <c r="J170">
        <f t="shared" si="7"/>
        <v>110.32955999999999</v>
      </c>
      <c r="K170" t="b">
        <v>1</v>
      </c>
      <c r="L170">
        <v>1</v>
      </c>
      <c r="M170" t="s">
        <v>5</v>
      </c>
    </row>
    <row r="172" spans="1:16" ht="15.6" x14ac:dyDescent="0.35">
      <c r="A172" t="s">
        <v>69</v>
      </c>
      <c r="B172" t="s">
        <v>70</v>
      </c>
      <c r="C172">
        <v>2025</v>
      </c>
      <c r="D172" t="s">
        <v>53</v>
      </c>
      <c r="E172" t="s">
        <v>3</v>
      </c>
      <c r="F172">
        <v>3160</v>
      </c>
      <c r="G172" t="s">
        <v>4</v>
      </c>
      <c r="H172" s="15">
        <v>0.20263999999999999</v>
      </c>
      <c r="I172" s="14" t="s">
        <v>58</v>
      </c>
      <c r="J172">
        <f>(F172*H172)</f>
        <v>640.3424</v>
      </c>
      <c r="K172" t="b">
        <v>1</v>
      </c>
      <c r="L172">
        <v>1</v>
      </c>
      <c r="M172" t="s">
        <v>5</v>
      </c>
      <c r="O172">
        <f>(J172+J173+J174+J175+J179+J182+J183+J184+J187+J188+J189+J190)</f>
        <v>1899.2708599999999</v>
      </c>
      <c r="P172">
        <f>(J177+J180+J181+J185)</f>
        <v>667.1725899999999</v>
      </c>
    </row>
    <row r="173" spans="1:16" ht="15.6" x14ac:dyDescent="0.35">
      <c r="A173" t="s">
        <v>69</v>
      </c>
      <c r="B173" t="s">
        <v>70</v>
      </c>
      <c r="C173">
        <v>2025</v>
      </c>
      <c r="D173" t="s">
        <v>53</v>
      </c>
      <c r="E173" t="s">
        <v>6</v>
      </c>
      <c r="F173">
        <v>1176</v>
      </c>
      <c r="G173" t="s">
        <v>4</v>
      </c>
      <c r="H173" s="15">
        <v>0.26807999999999998</v>
      </c>
      <c r="I173" s="14" t="s">
        <v>58</v>
      </c>
      <c r="J173">
        <f t="shared" ref="J173:J190" si="8">(F173*H173)</f>
        <v>315.26207999999997</v>
      </c>
      <c r="K173" t="b">
        <v>1</v>
      </c>
      <c r="L173">
        <v>1</v>
      </c>
      <c r="M173" t="s">
        <v>5</v>
      </c>
    </row>
    <row r="174" spans="1:16" ht="15.6" x14ac:dyDescent="0.35">
      <c r="A174" t="s">
        <v>69</v>
      </c>
      <c r="B174" t="s">
        <v>70</v>
      </c>
      <c r="C174">
        <v>2025</v>
      </c>
      <c r="D174" t="s">
        <v>53</v>
      </c>
      <c r="E174" t="s">
        <v>7</v>
      </c>
      <c r="F174">
        <v>413</v>
      </c>
      <c r="G174" t="s">
        <v>4</v>
      </c>
      <c r="H174" s="15">
        <v>0.23030999999999999</v>
      </c>
      <c r="I174" s="14" t="s">
        <v>58</v>
      </c>
      <c r="J174">
        <f t="shared" si="8"/>
        <v>95.11802999999999</v>
      </c>
      <c r="K174" t="b">
        <v>1</v>
      </c>
      <c r="L174">
        <v>1</v>
      </c>
      <c r="M174" t="s">
        <v>5</v>
      </c>
    </row>
    <row r="175" spans="1:16" ht="15.6" x14ac:dyDescent="0.35">
      <c r="A175" t="s">
        <v>69</v>
      </c>
      <c r="B175" t="s">
        <v>70</v>
      </c>
      <c r="C175">
        <v>2025</v>
      </c>
      <c r="D175" t="s">
        <v>53</v>
      </c>
      <c r="E175" t="s">
        <v>62</v>
      </c>
      <c r="F175">
        <v>694</v>
      </c>
      <c r="G175" t="s">
        <v>4</v>
      </c>
      <c r="H175" s="8">
        <v>1.132E-2</v>
      </c>
      <c r="I175" s="14" t="s">
        <v>58</v>
      </c>
      <c r="J175">
        <f t="shared" si="8"/>
        <v>7.8560800000000004</v>
      </c>
      <c r="K175" t="b">
        <v>1</v>
      </c>
      <c r="L175">
        <v>1</v>
      </c>
      <c r="M175" t="s">
        <v>5</v>
      </c>
    </row>
    <row r="176" spans="1:16" ht="15.6" x14ac:dyDescent="0.35">
      <c r="A176" t="s">
        <v>69</v>
      </c>
      <c r="B176" t="s">
        <v>70</v>
      </c>
      <c r="C176">
        <v>2025</v>
      </c>
      <c r="D176" t="s">
        <v>53</v>
      </c>
      <c r="E176" t="s">
        <v>8</v>
      </c>
      <c r="F176">
        <v>6422</v>
      </c>
      <c r="G176" t="s">
        <v>4</v>
      </c>
      <c r="H176" s="19">
        <v>0</v>
      </c>
      <c r="I176" s="14" t="s">
        <v>58</v>
      </c>
      <c r="J176">
        <f t="shared" si="8"/>
        <v>0</v>
      </c>
      <c r="K176" t="b">
        <v>1</v>
      </c>
      <c r="L176">
        <v>1</v>
      </c>
      <c r="M176" t="s">
        <v>9</v>
      </c>
    </row>
    <row r="177" spans="1:16" ht="15.6" x14ac:dyDescent="0.35">
      <c r="A177" t="s">
        <v>69</v>
      </c>
      <c r="B177" t="s">
        <v>70</v>
      </c>
      <c r="C177">
        <v>2025</v>
      </c>
      <c r="D177" t="s">
        <v>53</v>
      </c>
      <c r="E177" t="s">
        <v>10</v>
      </c>
      <c r="F177">
        <v>1866</v>
      </c>
      <c r="G177" t="s">
        <v>4</v>
      </c>
      <c r="H177" s="15">
        <v>0.20705000000000001</v>
      </c>
      <c r="I177" s="14" t="s">
        <v>58</v>
      </c>
      <c r="J177">
        <f t="shared" si="8"/>
        <v>386.3553</v>
      </c>
      <c r="K177" t="b">
        <v>1</v>
      </c>
      <c r="L177">
        <v>1</v>
      </c>
      <c r="M177" t="s">
        <v>5</v>
      </c>
    </row>
    <row r="178" spans="1:16" ht="15.6" x14ac:dyDescent="0.35">
      <c r="A178" t="s">
        <v>69</v>
      </c>
      <c r="B178" t="s">
        <v>70</v>
      </c>
      <c r="C178">
        <v>2025</v>
      </c>
      <c r="D178" t="s">
        <v>53</v>
      </c>
      <c r="E178" t="s">
        <v>63</v>
      </c>
      <c r="F178">
        <v>923</v>
      </c>
      <c r="G178" t="s">
        <v>4</v>
      </c>
      <c r="H178" s="20">
        <v>0</v>
      </c>
      <c r="I178" s="14" t="s">
        <v>58</v>
      </c>
      <c r="J178">
        <f t="shared" si="8"/>
        <v>0</v>
      </c>
      <c r="K178" t="b">
        <v>1</v>
      </c>
      <c r="L178">
        <v>1</v>
      </c>
      <c r="M178" t="s">
        <v>64</v>
      </c>
    </row>
    <row r="179" spans="1:16" ht="15.6" x14ac:dyDescent="0.35">
      <c r="A179" t="s">
        <v>69</v>
      </c>
      <c r="B179" t="s">
        <v>70</v>
      </c>
      <c r="C179">
        <v>2025</v>
      </c>
      <c r="D179" t="s">
        <v>53</v>
      </c>
      <c r="E179" t="s">
        <v>65</v>
      </c>
      <c r="F179">
        <v>126</v>
      </c>
      <c r="G179" t="s">
        <v>4</v>
      </c>
      <c r="H179" s="21">
        <v>0.20705000000000001</v>
      </c>
      <c r="I179" s="14" t="s">
        <v>58</v>
      </c>
      <c r="J179">
        <f t="shared" si="8"/>
        <v>26.0883</v>
      </c>
      <c r="K179" t="b">
        <v>1</v>
      </c>
      <c r="L179">
        <v>1</v>
      </c>
      <c r="M179" t="s">
        <v>64</v>
      </c>
    </row>
    <row r="180" spans="1:16" ht="15.6" x14ac:dyDescent="0.35">
      <c r="A180" t="s">
        <v>69</v>
      </c>
      <c r="B180" t="s">
        <v>70</v>
      </c>
      <c r="C180">
        <v>2025</v>
      </c>
      <c r="D180" t="s">
        <v>53</v>
      </c>
      <c r="E180" t="s">
        <v>11</v>
      </c>
      <c r="F180">
        <v>173</v>
      </c>
      <c r="G180" t="s">
        <v>4</v>
      </c>
      <c r="H180" s="8">
        <v>0.20263999999999999</v>
      </c>
      <c r="I180" s="14" t="s">
        <v>58</v>
      </c>
      <c r="J180">
        <f t="shared" si="8"/>
        <v>35.056719999999999</v>
      </c>
      <c r="K180" t="b">
        <v>1</v>
      </c>
      <c r="L180">
        <v>1</v>
      </c>
      <c r="M180" t="s">
        <v>5</v>
      </c>
    </row>
    <row r="181" spans="1:16" ht="15.6" x14ac:dyDescent="0.35">
      <c r="A181" t="s">
        <v>69</v>
      </c>
      <c r="B181" t="s">
        <v>70</v>
      </c>
      <c r="C181">
        <v>2025</v>
      </c>
      <c r="D181" t="s">
        <v>53</v>
      </c>
      <c r="E181" t="s">
        <v>12</v>
      </c>
      <c r="F181">
        <v>693</v>
      </c>
      <c r="G181" t="s">
        <v>4</v>
      </c>
      <c r="H181" s="12">
        <v>0.17965</v>
      </c>
      <c r="I181" s="14" t="s">
        <v>58</v>
      </c>
      <c r="J181">
        <f t="shared" si="8"/>
        <v>124.49745</v>
      </c>
      <c r="K181" t="b">
        <v>1</v>
      </c>
      <c r="L181">
        <v>1</v>
      </c>
      <c r="M181" t="s">
        <v>5</v>
      </c>
    </row>
    <row r="182" spans="1:16" ht="15.6" x14ac:dyDescent="0.35">
      <c r="A182" t="s">
        <v>69</v>
      </c>
      <c r="B182" t="s">
        <v>70</v>
      </c>
      <c r="C182">
        <v>2025</v>
      </c>
      <c r="D182" t="s">
        <v>53</v>
      </c>
      <c r="E182" s="1" t="s">
        <v>66</v>
      </c>
      <c r="F182">
        <v>581</v>
      </c>
      <c r="G182" t="s">
        <v>14</v>
      </c>
      <c r="H182" s="17">
        <v>0.15311</v>
      </c>
      <c r="I182" s="14" t="s">
        <v>58</v>
      </c>
      <c r="J182">
        <f t="shared" si="8"/>
        <v>88.956909999999993</v>
      </c>
      <c r="K182" t="b">
        <v>1</v>
      </c>
      <c r="L182">
        <v>1</v>
      </c>
      <c r="M182" t="s">
        <v>15</v>
      </c>
    </row>
    <row r="183" spans="1:16" ht="15.6" x14ac:dyDescent="0.35">
      <c r="A183" t="s">
        <v>69</v>
      </c>
      <c r="B183" t="s">
        <v>70</v>
      </c>
      <c r="C183">
        <v>2025</v>
      </c>
      <c r="D183" t="s">
        <v>53</v>
      </c>
      <c r="E183" s="1" t="s">
        <v>13</v>
      </c>
      <c r="F183">
        <v>500</v>
      </c>
      <c r="G183" t="s">
        <v>14</v>
      </c>
      <c r="H183" s="22">
        <v>0.34399999999999997</v>
      </c>
      <c r="I183" s="14" t="s">
        <v>58</v>
      </c>
      <c r="J183">
        <f t="shared" si="8"/>
        <v>172</v>
      </c>
      <c r="K183" t="b">
        <v>1</v>
      </c>
      <c r="L183">
        <v>1</v>
      </c>
      <c r="M183" t="s">
        <v>15</v>
      </c>
    </row>
    <row r="184" spans="1:16" ht="15.6" x14ac:dyDescent="0.35">
      <c r="A184" t="s">
        <v>69</v>
      </c>
      <c r="B184" t="s">
        <v>70</v>
      </c>
      <c r="C184">
        <v>2025</v>
      </c>
      <c r="D184" t="s">
        <v>53</v>
      </c>
      <c r="E184" s="1" t="s">
        <v>16</v>
      </c>
      <c r="F184">
        <v>434</v>
      </c>
      <c r="G184" t="s">
        <v>14</v>
      </c>
      <c r="H184" s="22">
        <v>0.54</v>
      </c>
      <c r="I184" s="14" t="s">
        <v>58</v>
      </c>
      <c r="J184">
        <f t="shared" si="8"/>
        <v>234.36</v>
      </c>
      <c r="K184" t="b">
        <v>0</v>
      </c>
      <c r="L184">
        <v>1</v>
      </c>
      <c r="M184" t="s">
        <v>17</v>
      </c>
    </row>
    <row r="185" spans="1:16" ht="15.6" x14ac:dyDescent="0.35">
      <c r="A185" t="s">
        <v>69</v>
      </c>
      <c r="B185" t="s">
        <v>70</v>
      </c>
      <c r="C185">
        <v>2025</v>
      </c>
      <c r="D185" t="s">
        <v>53</v>
      </c>
      <c r="E185" s="1" t="s">
        <v>18</v>
      </c>
      <c r="F185">
        <v>792</v>
      </c>
      <c r="G185" t="s">
        <v>14</v>
      </c>
      <c r="H185" s="17">
        <v>0.15311</v>
      </c>
      <c r="I185" s="16" t="s">
        <v>58</v>
      </c>
      <c r="J185">
        <f t="shared" si="8"/>
        <v>121.26312</v>
      </c>
      <c r="K185" t="b">
        <v>1</v>
      </c>
      <c r="L185">
        <v>1</v>
      </c>
      <c r="M185" t="s">
        <v>5</v>
      </c>
    </row>
    <row r="186" spans="1:16" ht="15.6" x14ac:dyDescent="0.35">
      <c r="A186" t="s">
        <v>69</v>
      </c>
      <c r="B186" t="s">
        <v>70</v>
      </c>
      <c r="C186">
        <v>2025</v>
      </c>
      <c r="D186" t="s">
        <v>53</v>
      </c>
      <c r="E186" s="1" t="s">
        <v>19</v>
      </c>
      <c r="F186">
        <v>187</v>
      </c>
      <c r="G186" t="s">
        <v>14</v>
      </c>
      <c r="H186" s="22">
        <v>0</v>
      </c>
      <c r="I186" s="14" t="s">
        <v>58</v>
      </c>
      <c r="J186">
        <f t="shared" si="8"/>
        <v>0</v>
      </c>
      <c r="K186" t="b">
        <v>0</v>
      </c>
      <c r="L186">
        <v>0</v>
      </c>
      <c r="M186" t="s">
        <v>20</v>
      </c>
    </row>
    <row r="187" spans="1:16" ht="15.6" x14ac:dyDescent="0.35">
      <c r="A187" t="s">
        <v>69</v>
      </c>
      <c r="B187" t="s">
        <v>70</v>
      </c>
      <c r="C187">
        <v>2025</v>
      </c>
      <c r="D187" t="s">
        <v>53</v>
      </c>
      <c r="E187" s="1" t="s">
        <v>67</v>
      </c>
      <c r="F187">
        <v>440</v>
      </c>
      <c r="G187" t="s">
        <v>14</v>
      </c>
      <c r="H187" s="9">
        <v>0.18573999999999999</v>
      </c>
      <c r="I187" s="16" t="s">
        <v>58</v>
      </c>
      <c r="J187">
        <f t="shared" si="8"/>
        <v>81.7256</v>
      </c>
      <c r="K187" t="b">
        <v>1</v>
      </c>
      <c r="L187">
        <v>1</v>
      </c>
      <c r="M187" t="s">
        <v>68</v>
      </c>
    </row>
    <row r="188" spans="1:16" ht="15.6" x14ac:dyDescent="0.35">
      <c r="A188" t="s">
        <v>69</v>
      </c>
      <c r="B188" t="s">
        <v>70</v>
      </c>
      <c r="C188">
        <v>2025</v>
      </c>
      <c r="D188" t="s">
        <v>53</v>
      </c>
      <c r="E188" s="1" t="s">
        <v>21</v>
      </c>
      <c r="F188">
        <v>350</v>
      </c>
      <c r="G188" t="s">
        <v>14</v>
      </c>
      <c r="H188" s="9">
        <v>0.18573999999999999</v>
      </c>
      <c r="I188" s="16" t="s">
        <v>58</v>
      </c>
      <c r="J188">
        <f t="shared" si="8"/>
        <v>65.009</v>
      </c>
      <c r="K188" t="b">
        <v>1</v>
      </c>
      <c r="L188">
        <v>1</v>
      </c>
      <c r="M188" t="s">
        <v>15</v>
      </c>
    </row>
    <row r="189" spans="1:16" ht="15.6" x14ac:dyDescent="0.35">
      <c r="A189" t="s">
        <v>69</v>
      </c>
      <c r="B189" t="s">
        <v>70</v>
      </c>
      <c r="C189">
        <v>2025</v>
      </c>
      <c r="D189" t="s">
        <v>53</v>
      </c>
      <c r="E189" s="1" t="s">
        <v>22</v>
      </c>
      <c r="F189">
        <v>289</v>
      </c>
      <c r="G189" t="s">
        <v>14</v>
      </c>
      <c r="H189" s="9">
        <v>0.18573999999999999</v>
      </c>
      <c r="I189" s="16" t="s">
        <v>58</v>
      </c>
      <c r="J189">
        <f t="shared" si="8"/>
        <v>53.678859999999993</v>
      </c>
      <c r="K189" t="b">
        <v>0</v>
      </c>
      <c r="L189">
        <v>0</v>
      </c>
      <c r="M189" t="s">
        <v>20</v>
      </c>
    </row>
    <row r="190" spans="1:16" ht="15.6" x14ac:dyDescent="0.35">
      <c r="A190" t="s">
        <v>69</v>
      </c>
      <c r="B190" t="s">
        <v>70</v>
      </c>
      <c r="C190">
        <v>2025</v>
      </c>
      <c r="D190" t="s">
        <v>53</v>
      </c>
      <c r="E190" s="1" t="s">
        <v>23</v>
      </c>
      <c r="F190">
        <v>640</v>
      </c>
      <c r="G190" t="s">
        <v>14</v>
      </c>
      <c r="H190" s="9">
        <v>0.18573999999999999</v>
      </c>
      <c r="I190" s="16" t="s">
        <v>58</v>
      </c>
      <c r="J190">
        <f t="shared" si="8"/>
        <v>118.8736</v>
      </c>
      <c r="K190" t="b">
        <v>1</v>
      </c>
      <c r="L190">
        <v>1</v>
      </c>
      <c r="M190" t="s">
        <v>5</v>
      </c>
    </row>
    <row r="192" spans="1:16" ht="15.6" x14ac:dyDescent="0.35">
      <c r="A192" t="s">
        <v>69</v>
      </c>
      <c r="B192" t="s">
        <v>70</v>
      </c>
      <c r="C192">
        <v>2025</v>
      </c>
      <c r="D192" t="s">
        <v>54</v>
      </c>
      <c r="E192" t="s">
        <v>3</v>
      </c>
      <c r="F192">
        <v>2132</v>
      </c>
      <c r="G192" t="s">
        <v>4</v>
      </c>
      <c r="H192" s="15">
        <v>0.20263999999999999</v>
      </c>
      <c r="I192" s="14" t="s">
        <v>58</v>
      </c>
      <c r="J192">
        <f>(F192*H192)</f>
        <v>432.02847999999994</v>
      </c>
      <c r="K192" t="b">
        <v>1</v>
      </c>
      <c r="L192">
        <v>1</v>
      </c>
      <c r="M192" t="s">
        <v>5</v>
      </c>
      <c r="O192">
        <f>(J192+J193+J194+J195+J199+J202+J203+J204+J207+J208+J209+J210)</f>
        <v>1735.9228999999996</v>
      </c>
      <c r="P192">
        <f>(J197+J200+J201+J205)</f>
        <v>1053.4819800000002</v>
      </c>
    </row>
    <row r="193" spans="1:13" ht="15.6" x14ac:dyDescent="0.35">
      <c r="A193" t="s">
        <v>69</v>
      </c>
      <c r="B193" t="s">
        <v>70</v>
      </c>
      <c r="C193">
        <v>2025</v>
      </c>
      <c r="D193" t="s">
        <v>54</v>
      </c>
      <c r="E193" t="s">
        <v>6</v>
      </c>
      <c r="F193">
        <v>1331</v>
      </c>
      <c r="G193" t="s">
        <v>4</v>
      </c>
      <c r="H193" s="15">
        <v>0.26807999999999998</v>
      </c>
      <c r="I193" s="14" t="s">
        <v>58</v>
      </c>
      <c r="J193">
        <f t="shared" ref="J193:J210" si="9">(F193*H193)</f>
        <v>356.81448</v>
      </c>
      <c r="K193" t="b">
        <v>1</v>
      </c>
      <c r="L193">
        <v>1</v>
      </c>
      <c r="M193" t="s">
        <v>5</v>
      </c>
    </row>
    <row r="194" spans="1:13" ht="15.6" x14ac:dyDescent="0.35">
      <c r="A194" t="s">
        <v>69</v>
      </c>
      <c r="B194" t="s">
        <v>70</v>
      </c>
      <c r="C194">
        <v>2025</v>
      </c>
      <c r="D194" t="s">
        <v>54</v>
      </c>
      <c r="E194" t="s">
        <v>7</v>
      </c>
      <c r="F194">
        <v>619</v>
      </c>
      <c r="G194" t="s">
        <v>4</v>
      </c>
      <c r="H194" s="15">
        <v>0.23030999999999999</v>
      </c>
      <c r="I194" s="14" t="s">
        <v>58</v>
      </c>
      <c r="J194">
        <f t="shared" si="9"/>
        <v>142.56189000000001</v>
      </c>
      <c r="K194" t="b">
        <v>1</v>
      </c>
      <c r="L194">
        <v>1</v>
      </c>
      <c r="M194" t="s">
        <v>5</v>
      </c>
    </row>
    <row r="195" spans="1:13" ht="15.6" x14ac:dyDescent="0.35">
      <c r="A195" t="s">
        <v>69</v>
      </c>
      <c r="B195" t="s">
        <v>70</v>
      </c>
      <c r="C195">
        <v>2025</v>
      </c>
      <c r="D195" t="s">
        <v>54</v>
      </c>
      <c r="E195" t="s">
        <v>62</v>
      </c>
      <c r="F195">
        <v>677</v>
      </c>
      <c r="G195" t="s">
        <v>4</v>
      </c>
      <c r="H195" s="8">
        <v>1.132E-2</v>
      </c>
      <c r="I195" s="14" t="s">
        <v>58</v>
      </c>
      <c r="J195">
        <f t="shared" si="9"/>
        <v>7.66364</v>
      </c>
      <c r="K195" t="b">
        <v>1</v>
      </c>
      <c r="L195">
        <v>1</v>
      </c>
      <c r="M195" t="s">
        <v>5</v>
      </c>
    </row>
    <row r="196" spans="1:13" ht="15.6" x14ac:dyDescent="0.35">
      <c r="A196" t="s">
        <v>69</v>
      </c>
      <c r="B196" t="s">
        <v>70</v>
      </c>
      <c r="C196">
        <v>2025</v>
      </c>
      <c r="D196" t="s">
        <v>54</v>
      </c>
      <c r="E196" t="s">
        <v>8</v>
      </c>
      <c r="F196">
        <v>2969</v>
      </c>
      <c r="G196" t="s">
        <v>4</v>
      </c>
      <c r="H196" s="19">
        <v>0</v>
      </c>
      <c r="I196" s="14" t="s">
        <v>58</v>
      </c>
      <c r="J196">
        <f t="shared" si="9"/>
        <v>0</v>
      </c>
      <c r="K196" t="b">
        <v>1</v>
      </c>
      <c r="L196">
        <v>1</v>
      </c>
      <c r="M196" t="s">
        <v>9</v>
      </c>
    </row>
    <row r="197" spans="1:13" ht="15.6" x14ac:dyDescent="0.35">
      <c r="A197" t="s">
        <v>69</v>
      </c>
      <c r="B197" t="s">
        <v>70</v>
      </c>
      <c r="C197">
        <v>2025</v>
      </c>
      <c r="D197" t="s">
        <v>54</v>
      </c>
      <c r="E197" t="s">
        <v>10</v>
      </c>
      <c r="F197">
        <v>3962</v>
      </c>
      <c r="G197" t="s">
        <v>4</v>
      </c>
      <c r="H197" s="15">
        <v>0.20705000000000001</v>
      </c>
      <c r="I197" s="14" t="s">
        <v>58</v>
      </c>
      <c r="J197">
        <f t="shared" si="9"/>
        <v>820.33210000000008</v>
      </c>
      <c r="K197" t="b">
        <v>1</v>
      </c>
      <c r="L197">
        <v>1</v>
      </c>
      <c r="M197" t="s">
        <v>5</v>
      </c>
    </row>
    <row r="198" spans="1:13" ht="15.6" x14ac:dyDescent="0.35">
      <c r="A198" t="s">
        <v>69</v>
      </c>
      <c r="B198" t="s">
        <v>70</v>
      </c>
      <c r="C198">
        <v>2025</v>
      </c>
      <c r="D198" t="s">
        <v>54</v>
      </c>
      <c r="E198" t="s">
        <v>63</v>
      </c>
      <c r="F198">
        <v>710</v>
      </c>
      <c r="G198" t="s">
        <v>4</v>
      </c>
      <c r="H198" s="20">
        <v>0</v>
      </c>
      <c r="I198" s="14" t="s">
        <v>58</v>
      </c>
      <c r="J198">
        <f t="shared" si="9"/>
        <v>0</v>
      </c>
      <c r="K198" t="b">
        <v>1</v>
      </c>
      <c r="L198">
        <v>1</v>
      </c>
      <c r="M198" t="s">
        <v>64</v>
      </c>
    </row>
    <row r="199" spans="1:13" ht="15.6" x14ac:dyDescent="0.35">
      <c r="A199" t="s">
        <v>69</v>
      </c>
      <c r="B199" t="s">
        <v>70</v>
      </c>
      <c r="C199">
        <v>2025</v>
      </c>
      <c r="D199" t="s">
        <v>54</v>
      </c>
      <c r="E199" t="s">
        <v>65</v>
      </c>
      <c r="F199">
        <v>31</v>
      </c>
      <c r="G199" t="s">
        <v>4</v>
      </c>
      <c r="H199" s="21">
        <v>0.20705000000000001</v>
      </c>
      <c r="I199" s="14" t="s">
        <v>58</v>
      </c>
      <c r="J199">
        <f t="shared" si="9"/>
        <v>6.4185500000000006</v>
      </c>
      <c r="K199" t="b">
        <v>1</v>
      </c>
      <c r="L199">
        <v>1</v>
      </c>
      <c r="M199" t="s">
        <v>64</v>
      </c>
    </row>
    <row r="200" spans="1:13" ht="15.6" x14ac:dyDescent="0.35">
      <c r="A200" t="s">
        <v>69</v>
      </c>
      <c r="B200" t="s">
        <v>70</v>
      </c>
      <c r="C200">
        <v>2025</v>
      </c>
      <c r="D200" t="s">
        <v>54</v>
      </c>
      <c r="E200" t="s">
        <v>11</v>
      </c>
      <c r="F200">
        <v>129</v>
      </c>
      <c r="G200" t="s">
        <v>4</v>
      </c>
      <c r="H200" s="8">
        <v>0.20263999999999999</v>
      </c>
      <c r="I200" s="14" t="s">
        <v>58</v>
      </c>
      <c r="J200">
        <f t="shared" si="9"/>
        <v>26.140559999999997</v>
      </c>
      <c r="K200" t="b">
        <v>1</v>
      </c>
      <c r="L200">
        <v>1</v>
      </c>
      <c r="M200" t="s">
        <v>5</v>
      </c>
    </row>
    <row r="201" spans="1:13" ht="15.6" x14ac:dyDescent="0.35">
      <c r="A201" t="s">
        <v>69</v>
      </c>
      <c r="B201" t="s">
        <v>70</v>
      </c>
      <c r="C201">
        <v>2025</v>
      </c>
      <c r="D201" t="s">
        <v>54</v>
      </c>
      <c r="E201" t="s">
        <v>12</v>
      </c>
      <c r="F201">
        <v>554</v>
      </c>
      <c r="G201" t="s">
        <v>4</v>
      </c>
      <c r="H201" s="12">
        <v>0.17965</v>
      </c>
      <c r="I201" s="14" t="s">
        <v>58</v>
      </c>
      <c r="J201">
        <f t="shared" si="9"/>
        <v>99.5261</v>
      </c>
      <c r="K201" t="b">
        <v>1</v>
      </c>
      <c r="L201">
        <v>1</v>
      </c>
      <c r="M201" t="s">
        <v>5</v>
      </c>
    </row>
    <row r="202" spans="1:13" ht="15.6" x14ac:dyDescent="0.35">
      <c r="A202" t="s">
        <v>69</v>
      </c>
      <c r="B202" t="s">
        <v>70</v>
      </c>
      <c r="C202">
        <v>2025</v>
      </c>
      <c r="D202" t="s">
        <v>54</v>
      </c>
      <c r="E202" s="1" t="s">
        <v>66</v>
      </c>
      <c r="F202">
        <v>536</v>
      </c>
      <c r="G202" t="s">
        <v>14</v>
      </c>
      <c r="H202" s="17">
        <v>0.15311</v>
      </c>
      <c r="I202" s="14" t="s">
        <v>58</v>
      </c>
      <c r="J202">
        <f t="shared" si="9"/>
        <v>82.066959999999995</v>
      </c>
      <c r="K202" t="b">
        <v>1</v>
      </c>
      <c r="L202">
        <v>1</v>
      </c>
      <c r="M202" t="s">
        <v>15</v>
      </c>
    </row>
    <row r="203" spans="1:13" ht="15.6" x14ac:dyDescent="0.35">
      <c r="A203" t="s">
        <v>69</v>
      </c>
      <c r="B203" t="s">
        <v>70</v>
      </c>
      <c r="C203">
        <v>2025</v>
      </c>
      <c r="D203" t="s">
        <v>54</v>
      </c>
      <c r="E203" s="1" t="s">
        <v>13</v>
      </c>
      <c r="F203">
        <v>481</v>
      </c>
      <c r="G203" t="s">
        <v>14</v>
      </c>
      <c r="H203" s="22">
        <v>0.34399999999999997</v>
      </c>
      <c r="I203" s="14" t="s">
        <v>58</v>
      </c>
      <c r="J203">
        <f t="shared" si="9"/>
        <v>165.464</v>
      </c>
      <c r="K203" t="b">
        <v>1</v>
      </c>
      <c r="L203">
        <v>1</v>
      </c>
      <c r="M203" t="s">
        <v>15</v>
      </c>
    </row>
    <row r="204" spans="1:13" ht="15.6" x14ac:dyDescent="0.35">
      <c r="A204" t="s">
        <v>69</v>
      </c>
      <c r="B204" t="s">
        <v>70</v>
      </c>
      <c r="C204">
        <v>2025</v>
      </c>
      <c r="D204" t="s">
        <v>54</v>
      </c>
      <c r="E204" s="1" t="s">
        <v>16</v>
      </c>
      <c r="F204">
        <v>443</v>
      </c>
      <c r="G204" t="s">
        <v>14</v>
      </c>
      <c r="H204" s="22">
        <v>0.54</v>
      </c>
      <c r="I204" s="14" t="s">
        <v>58</v>
      </c>
      <c r="J204">
        <f t="shared" si="9"/>
        <v>239.22000000000003</v>
      </c>
      <c r="K204" t="b">
        <v>0</v>
      </c>
      <c r="L204">
        <v>1</v>
      </c>
      <c r="M204" t="s">
        <v>17</v>
      </c>
    </row>
    <row r="205" spans="1:13" ht="15.6" x14ac:dyDescent="0.35">
      <c r="A205" t="s">
        <v>69</v>
      </c>
      <c r="B205" t="s">
        <v>70</v>
      </c>
      <c r="C205">
        <v>2025</v>
      </c>
      <c r="D205" t="s">
        <v>54</v>
      </c>
      <c r="E205" s="1" t="s">
        <v>18</v>
      </c>
      <c r="F205">
        <v>702</v>
      </c>
      <c r="G205" t="s">
        <v>14</v>
      </c>
      <c r="H205" s="17">
        <v>0.15311</v>
      </c>
      <c r="I205" s="16" t="s">
        <v>58</v>
      </c>
      <c r="J205">
        <f t="shared" si="9"/>
        <v>107.48322</v>
      </c>
      <c r="K205" t="b">
        <v>1</v>
      </c>
      <c r="L205">
        <v>1</v>
      </c>
      <c r="M205" t="s">
        <v>5</v>
      </c>
    </row>
    <row r="206" spans="1:13" ht="15.6" x14ac:dyDescent="0.35">
      <c r="A206" t="s">
        <v>69</v>
      </c>
      <c r="B206" t="s">
        <v>70</v>
      </c>
      <c r="C206">
        <v>2025</v>
      </c>
      <c r="D206" t="s">
        <v>54</v>
      </c>
      <c r="E206" s="1" t="s">
        <v>19</v>
      </c>
      <c r="F206">
        <v>159</v>
      </c>
      <c r="G206" t="s">
        <v>14</v>
      </c>
      <c r="H206" s="22">
        <v>0</v>
      </c>
      <c r="I206" s="14" t="s">
        <v>58</v>
      </c>
      <c r="J206">
        <f t="shared" si="9"/>
        <v>0</v>
      </c>
      <c r="K206" t="b">
        <v>0</v>
      </c>
      <c r="L206">
        <v>0</v>
      </c>
      <c r="M206" t="s">
        <v>20</v>
      </c>
    </row>
    <row r="207" spans="1:13" ht="15.6" x14ac:dyDescent="0.35">
      <c r="A207" t="s">
        <v>69</v>
      </c>
      <c r="B207" t="s">
        <v>70</v>
      </c>
      <c r="C207">
        <v>2025</v>
      </c>
      <c r="D207" t="s">
        <v>54</v>
      </c>
      <c r="E207" s="1" t="s">
        <v>67</v>
      </c>
      <c r="F207">
        <v>423</v>
      </c>
      <c r="G207" t="s">
        <v>14</v>
      </c>
      <c r="H207" s="9">
        <v>0.18573999999999999</v>
      </c>
      <c r="I207" s="16" t="s">
        <v>58</v>
      </c>
      <c r="J207">
        <f t="shared" si="9"/>
        <v>78.56801999999999</v>
      </c>
      <c r="K207" t="b">
        <v>1</v>
      </c>
      <c r="L207">
        <v>1</v>
      </c>
      <c r="M207" t="s">
        <v>68</v>
      </c>
    </row>
    <row r="208" spans="1:13" ht="15.6" x14ac:dyDescent="0.35">
      <c r="A208" t="s">
        <v>69</v>
      </c>
      <c r="B208" t="s">
        <v>70</v>
      </c>
      <c r="C208">
        <v>2025</v>
      </c>
      <c r="D208" t="s">
        <v>54</v>
      </c>
      <c r="E208" s="1" t="s">
        <v>21</v>
      </c>
      <c r="F208">
        <v>344</v>
      </c>
      <c r="G208" t="s">
        <v>14</v>
      </c>
      <c r="H208" s="9">
        <v>0.18573999999999999</v>
      </c>
      <c r="I208" s="16" t="s">
        <v>58</v>
      </c>
      <c r="J208">
        <f t="shared" si="9"/>
        <v>63.894559999999998</v>
      </c>
      <c r="K208" t="b">
        <v>1</v>
      </c>
      <c r="L208">
        <v>1</v>
      </c>
      <c r="M208" t="s">
        <v>15</v>
      </c>
    </row>
    <row r="209" spans="1:16" ht="15.6" x14ac:dyDescent="0.35">
      <c r="A209" t="s">
        <v>69</v>
      </c>
      <c r="B209" t="s">
        <v>70</v>
      </c>
      <c r="C209">
        <v>2025</v>
      </c>
      <c r="D209" t="s">
        <v>54</v>
      </c>
      <c r="E209" s="1" t="s">
        <v>22</v>
      </c>
      <c r="F209">
        <v>250</v>
      </c>
      <c r="G209" t="s">
        <v>14</v>
      </c>
      <c r="H209" s="9">
        <v>0.18573999999999999</v>
      </c>
      <c r="I209" s="16" t="s">
        <v>58</v>
      </c>
      <c r="J209">
        <f t="shared" si="9"/>
        <v>46.434999999999995</v>
      </c>
      <c r="K209" t="b">
        <v>0</v>
      </c>
      <c r="L209">
        <v>0</v>
      </c>
      <c r="M209" t="s">
        <v>20</v>
      </c>
    </row>
    <row r="210" spans="1:16" ht="15.6" x14ac:dyDescent="0.35">
      <c r="A210" t="s">
        <v>69</v>
      </c>
      <c r="B210" t="s">
        <v>70</v>
      </c>
      <c r="C210">
        <v>2025</v>
      </c>
      <c r="D210" t="s">
        <v>54</v>
      </c>
      <c r="E210" s="1" t="s">
        <v>23</v>
      </c>
      <c r="F210">
        <v>618</v>
      </c>
      <c r="G210" t="s">
        <v>14</v>
      </c>
      <c r="H210" s="9">
        <v>0.18573999999999999</v>
      </c>
      <c r="I210" s="16" t="s">
        <v>58</v>
      </c>
      <c r="J210">
        <f t="shared" si="9"/>
        <v>114.78731999999999</v>
      </c>
      <c r="K210" t="b">
        <v>1</v>
      </c>
      <c r="L210">
        <v>1</v>
      </c>
      <c r="M210" t="s">
        <v>5</v>
      </c>
    </row>
    <row r="212" spans="1:16" ht="15.6" x14ac:dyDescent="0.35">
      <c r="A212" t="s">
        <v>69</v>
      </c>
      <c r="B212" t="s">
        <v>70</v>
      </c>
      <c r="C212">
        <v>2025</v>
      </c>
      <c r="D212" t="s">
        <v>55</v>
      </c>
      <c r="E212" t="s">
        <v>3</v>
      </c>
      <c r="F212">
        <v>3291</v>
      </c>
      <c r="G212" t="s">
        <v>4</v>
      </c>
      <c r="H212" s="15">
        <v>0.20263999999999999</v>
      </c>
      <c r="I212" s="14" t="s">
        <v>58</v>
      </c>
      <c r="J212">
        <f>(F212*H212)</f>
        <v>666.88824</v>
      </c>
      <c r="K212" t="b">
        <v>1</v>
      </c>
      <c r="L212">
        <v>1</v>
      </c>
      <c r="M212" t="s">
        <v>5</v>
      </c>
      <c r="O212">
        <f>(J212+J213+J214+J215+J219+J222+J223+J224+J227+J228+J229+J230)</f>
        <v>1771.47513</v>
      </c>
      <c r="P212">
        <f>(J217+J220+J221+J225)</f>
        <v>1425.6605099999999</v>
      </c>
    </row>
    <row r="213" spans="1:16" ht="15.6" x14ac:dyDescent="0.35">
      <c r="A213" t="s">
        <v>69</v>
      </c>
      <c r="B213" t="s">
        <v>70</v>
      </c>
      <c r="C213">
        <v>2025</v>
      </c>
      <c r="D213" t="s">
        <v>55</v>
      </c>
      <c r="E213" t="s">
        <v>6</v>
      </c>
      <c r="F213">
        <v>481</v>
      </c>
      <c r="G213" t="s">
        <v>4</v>
      </c>
      <c r="H213" s="15">
        <v>0.26807999999999998</v>
      </c>
      <c r="I213" s="14" t="s">
        <v>58</v>
      </c>
      <c r="J213">
        <f t="shared" ref="J213:J230" si="10">(F213*H213)</f>
        <v>128.94647999999998</v>
      </c>
      <c r="K213" t="b">
        <v>1</v>
      </c>
      <c r="L213">
        <v>1</v>
      </c>
      <c r="M213" t="s">
        <v>5</v>
      </c>
    </row>
    <row r="214" spans="1:16" ht="15.6" x14ac:dyDescent="0.35">
      <c r="A214" t="s">
        <v>69</v>
      </c>
      <c r="B214" t="s">
        <v>70</v>
      </c>
      <c r="C214">
        <v>2025</v>
      </c>
      <c r="D214" t="s">
        <v>55</v>
      </c>
      <c r="E214" t="s">
        <v>7</v>
      </c>
      <c r="F214">
        <v>883</v>
      </c>
      <c r="G214" t="s">
        <v>4</v>
      </c>
      <c r="H214" s="15">
        <v>0.23030999999999999</v>
      </c>
      <c r="I214" s="14" t="s">
        <v>58</v>
      </c>
      <c r="J214">
        <f t="shared" si="10"/>
        <v>203.36372999999998</v>
      </c>
      <c r="K214" t="b">
        <v>1</v>
      </c>
      <c r="L214">
        <v>1</v>
      </c>
      <c r="M214" t="s">
        <v>5</v>
      </c>
    </row>
    <row r="215" spans="1:16" ht="15.6" x14ac:dyDescent="0.35">
      <c r="A215" t="s">
        <v>69</v>
      </c>
      <c r="B215" t="s">
        <v>70</v>
      </c>
      <c r="C215">
        <v>2025</v>
      </c>
      <c r="D215" t="s">
        <v>55</v>
      </c>
      <c r="E215" t="s">
        <v>62</v>
      </c>
      <c r="F215">
        <v>686</v>
      </c>
      <c r="G215" t="s">
        <v>4</v>
      </c>
      <c r="H215" s="8">
        <v>1.132E-2</v>
      </c>
      <c r="I215" s="14" t="s">
        <v>58</v>
      </c>
      <c r="J215">
        <f t="shared" si="10"/>
        <v>7.7655200000000004</v>
      </c>
      <c r="K215" t="b">
        <v>1</v>
      </c>
      <c r="L215">
        <v>1</v>
      </c>
      <c r="M215" t="s">
        <v>5</v>
      </c>
    </row>
    <row r="216" spans="1:16" ht="15.6" x14ac:dyDescent="0.35">
      <c r="A216" t="s">
        <v>69</v>
      </c>
      <c r="B216" t="s">
        <v>70</v>
      </c>
      <c r="C216">
        <v>2025</v>
      </c>
      <c r="D216" t="s">
        <v>55</v>
      </c>
      <c r="E216" t="s">
        <v>8</v>
      </c>
      <c r="F216">
        <v>2764</v>
      </c>
      <c r="G216" t="s">
        <v>4</v>
      </c>
      <c r="H216" s="19">
        <v>0</v>
      </c>
      <c r="I216" s="14" t="s">
        <v>58</v>
      </c>
      <c r="J216">
        <f t="shared" si="10"/>
        <v>0</v>
      </c>
      <c r="K216" t="b">
        <v>1</v>
      </c>
      <c r="L216">
        <v>1</v>
      </c>
      <c r="M216" t="s">
        <v>9</v>
      </c>
    </row>
    <row r="217" spans="1:16" ht="15.6" x14ac:dyDescent="0.35">
      <c r="A217" t="s">
        <v>69</v>
      </c>
      <c r="B217" t="s">
        <v>70</v>
      </c>
      <c r="C217">
        <v>2025</v>
      </c>
      <c r="D217" t="s">
        <v>55</v>
      </c>
      <c r="E217" t="s">
        <v>10</v>
      </c>
      <c r="F217">
        <v>5576</v>
      </c>
      <c r="G217" t="s">
        <v>4</v>
      </c>
      <c r="H217" s="15">
        <v>0.20705000000000001</v>
      </c>
      <c r="I217" s="14" t="s">
        <v>58</v>
      </c>
      <c r="J217">
        <f t="shared" si="10"/>
        <v>1154.5108</v>
      </c>
      <c r="K217" t="b">
        <v>1</v>
      </c>
      <c r="L217">
        <v>1</v>
      </c>
      <c r="M217" t="s">
        <v>5</v>
      </c>
    </row>
    <row r="218" spans="1:16" ht="15.6" x14ac:dyDescent="0.35">
      <c r="A218" t="s">
        <v>69</v>
      </c>
      <c r="B218" t="s">
        <v>70</v>
      </c>
      <c r="C218">
        <v>2025</v>
      </c>
      <c r="D218" t="s">
        <v>55</v>
      </c>
      <c r="E218" t="s">
        <v>63</v>
      </c>
      <c r="F218">
        <v>1088</v>
      </c>
      <c r="G218" t="s">
        <v>4</v>
      </c>
      <c r="H218" s="20">
        <v>0</v>
      </c>
      <c r="I218" s="14" t="s">
        <v>58</v>
      </c>
      <c r="J218">
        <f t="shared" si="10"/>
        <v>0</v>
      </c>
      <c r="K218" t="b">
        <v>1</v>
      </c>
      <c r="L218">
        <v>1</v>
      </c>
      <c r="M218" t="s">
        <v>64</v>
      </c>
    </row>
    <row r="219" spans="1:16" ht="15.6" x14ac:dyDescent="0.35">
      <c r="A219" t="s">
        <v>69</v>
      </c>
      <c r="B219" t="s">
        <v>70</v>
      </c>
      <c r="C219">
        <v>2025</v>
      </c>
      <c r="D219" t="s">
        <v>55</v>
      </c>
      <c r="E219" t="s">
        <v>65</v>
      </c>
      <c r="F219">
        <v>7</v>
      </c>
      <c r="G219" t="s">
        <v>4</v>
      </c>
      <c r="H219" s="21">
        <v>0.20705000000000001</v>
      </c>
      <c r="I219" s="14" t="s">
        <v>58</v>
      </c>
      <c r="J219">
        <f t="shared" si="10"/>
        <v>1.4493500000000001</v>
      </c>
      <c r="K219" t="b">
        <v>1</v>
      </c>
      <c r="L219">
        <v>1</v>
      </c>
      <c r="M219" t="s">
        <v>64</v>
      </c>
    </row>
    <row r="220" spans="1:16" ht="15.6" x14ac:dyDescent="0.35">
      <c r="A220" t="s">
        <v>69</v>
      </c>
      <c r="B220" t="s">
        <v>70</v>
      </c>
      <c r="C220">
        <v>2025</v>
      </c>
      <c r="D220" t="s">
        <v>55</v>
      </c>
      <c r="E220" t="s">
        <v>11</v>
      </c>
      <c r="F220">
        <v>125</v>
      </c>
      <c r="G220" t="s">
        <v>4</v>
      </c>
      <c r="H220" s="8">
        <v>0.20263999999999999</v>
      </c>
      <c r="I220" s="14" t="s">
        <v>58</v>
      </c>
      <c r="J220">
        <f t="shared" si="10"/>
        <v>25.33</v>
      </c>
      <c r="K220" t="b">
        <v>1</v>
      </c>
      <c r="L220">
        <v>1</v>
      </c>
      <c r="M220" t="s">
        <v>5</v>
      </c>
    </row>
    <row r="221" spans="1:16" ht="15.6" x14ac:dyDescent="0.35">
      <c r="A221" t="s">
        <v>69</v>
      </c>
      <c r="B221" t="s">
        <v>70</v>
      </c>
      <c r="C221">
        <v>2025</v>
      </c>
      <c r="D221" t="s">
        <v>55</v>
      </c>
      <c r="E221" t="s">
        <v>12</v>
      </c>
      <c r="F221">
        <v>626</v>
      </c>
      <c r="G221" t="s">
        <v>4</v>
      </c>
      <c r="H221" s="12">
        <v>0.17965</v>
      </c>
      <c r="I221" s="14" t="s">
        <v>58</v>
      </c>
      <c r="J221">
        <f t="shared" si="10"/>
        <v>112.46090000000001</v>
      </c>
      <c r="K221" t="b">
        <v>1</v>
      </c>
      <c r="L221">
        <v>1</v>
      </c>
      <c r="M221" t="s">
        <v>5</v>
      </c>
    </row>
    <row r="222" spans="1:16" ht="15.6" x14ac:dyDescent="0.35">
      <c r="A222" t="s">
        <v>69</v>
      </c>
      <c r="B222" t="s">
        <v>70</v>
      </c>
      <c r="C222">
        <v>2025</v>
      </c>
      <c r="D222" t="s">
        <v>55</v>
      </c>
      <c r="E222" s="1" t="s">
        <v>66</v>
      </c>
      <c r="F222">
        <v>575</v>
      </c>
      <c r="G222" t="s">
        <v>14</v>
      </c>
      <c r="H222" s="17">
        <v>0.15311</v>
      </c>
      <c r="I222" s="14" t="s">
        <v>58</v>
      </c>
      <c r="J222">
        <f t="shared" si="10"/>
        <v>88.038249999999991</v>
      </c>
      <c r="K222" t="b">
        <v>1</v>
      </c>
      <c r="L222">
        <v>1</v>
      </c>
      <c r="M222" t="s">
        <v>15</v>
      </c>
    </row>
    <row r="223" spans="1:16" ht="15.6" x14ac:dyDescent="0.35">
      <c r="A223" t="s">
        <v>69</v>
      </c>
      <c r="B223" t="s">
        <v>70</v>
      </c>
      <c r="C223">
        <v>2025</v>
      </c>
      <c r="D223" t="s">
        <v>55</v>
      </c>
      <c r="E223" s="1" t="s">
        <v>13</v>
      </c>
      <c r="F223">
        <v>415</v>
      </c>
      <c r="G223" t="s">
        <v>14</v>
      </c>
      <c r="H223" s="22">
        <v>0.34399999999999997</v>
      </c>
      <c r="I223" s="14" t="s">
        <v>58</v>
      </c>
      <c r="J223">
        <f t="shared" si="10"/>
        <v>142.76</v>
      </c>
      <c r="K223" t="b">
        <v>1</v>
      </c>
      <c r="L223">
        <v>1</v>
      </c>
      <c r="M223" t="s">
        <v>15</v>
      </c>
    </row>
    <row r="224" spans="1:16" ht="15.6" x14ac:dyDescent="0.35">
      <c r="A224" t="s">
        <v>69</v>
      </c>
      <c r="B224" t="s">
        <v>70</v>
      </c>
      <c r="C224">
        <v>2025</v>
      </c>
      <c r="D224" t="s">
        <v>55</v>
      </c>
      <c r="E224" s="1" t="s">
        <v>16</v>
      </c>
      <c r="F224">
        <v>403</v>
      </c>
      <c r="G224" t="s">
        <v>14</v>
      </c>
      <c r="H224" s="22">
        <v>0.54</v>
      </c>
      <c r="I224" s="14" t="s">
        <v>58</v>
      </c>
      <c r="J224">
        <f t="shared" si="10"/>
        <v>217.62</v>
      </c>
      <c r="K224" t="b">
        <v>0</v>
      </c>
      <c r="L224">
        <v>1</v>
      </c>
      <c r="M224" t="s">
        <v>17</v>
      </c>
    </row>
    <row r="225" spans="1:16" ht="15.6" x14ac:dyDescent="0.35">
      <c r="A225" t="s">
        <v>69</v>
      </c>
      <c r="B225" t="s">
        <v>70</v>
      </c>
      <c r="C225">
        <v>2025</v>
      </c>
      <c r="D225" t="s">
        <v>55</v>
      </c>
      <c r="E225" s="1" t="s">
        <v>18</v>
      </c>
      <c r="F225">
        <v>871</v>
      </c>
      <c r="G225" t="s">
        <v>14</v>
      </c>
      <c r="H225" s="17">
        <v>0.15311</v>
      </c>
      <c r="I225" s="16" t="s">
        <v>58</v>
      </c>
      <c r="J225">
        <f t="shared" si="10"/>
        <v>133.35881000000001</v>
      </c>
      <c r="K225" t="b">
        <v>1</v>
      </c>
      <c r="L225">
        <v>1</v>
      </c>
      <c r="M225" t="s">
        <v>5</v>
      </c>
    </row>
    <row r="226" spans="1:16" ht="15.6" x14ac:dyDescent="0.35">
      <c r="A226" t="s">
        <v>69</v>
      </c>
      <c r="B226" t="s">
        <v>70</v>
      </c>
      <c r="C226">
        <v>2025</v>
      </c>
      <c r="D226" t="s">
        <v>55</v>
      </c>
      <c r="E226" s="1" t="s">
        <v>19</v>
      </c>
      <c r="F226">
        <v>122</v>
      </c>
      <c r="G226" t="s">
        <v>14</v>
      </c>
      <c r="H226" s="22">
        <v>0</v>
      </c>
      <c r="I226" s="14" t="s">
        <v>58</v>
      </c>
      <c r="J226">
        <f t="shared" si="10"/>
        <v>0</v>
      </c>
      <c r="K226" t="b">
        <v>0</v>
      </c>
      <c r="L226">
        <v>0</v>
      </c>
      <c r="M226" t="s">
        <v>20</v>
      </c>
    </row>
    <row r="227" spans="1:16" ht="15.6" x14ac:dyDescent="0.35">
      <c r="A227" t="s">
        <v>69</v>
      </c>
      <c r="B227" t="s">
        <v>70</v>
      </c>
      <c r="C227">
        <v>2025</v>
      </c>
      <c r="D227" t="s">
        <v>55</v>
      </c>
      <c r="E227" s="1" t="s">
        <v>67</v>
      </c>
      <c r="F227">
        <v>490</v>
      </c>
      <c r="G227" t="s">
        <v>14</v>
      </c>
      <c r="H227" s="9">
        <v>0.18573999999999999</v>
      </c>
      <c r="I227" s="16" t="s">
        <v>58</v>
      </c>
      <c r="J227">
        <f t="shared" si="10"/>
        <v>91.012599999999992</v>
      </c>
      <c r="K227" t="b">
        <v>1</v>
      </c>
      <c r="L227">
        <v>1</v>
      </c>
      <c r="M227" t="s">
        <v>68</v>
      </c>
    </row>
    <row r="228" spans="1:16" ht="15.6" x14ac:dyDescent="0.35">
      <c r="A228" t="s">
        <v>69</v>
      </c>
      <c r="B228" t="s">
        <v>70</v>
      </c>
      <c r="C228">
        <v>2025</v>
      </c>
      <c r="D228" t="s">
        <v>55</v>
      </c>
      <c r="E228" s="1" t="s">
        <v>21</v>
      </c>
      <c r="F228">
        <v>310</v>
      </c>
      <c r="G228" t="s">
        <v>14</v>
      </c>
      <c r="H228" s="9">
        <v>0.18573999999999999</v>
      </c>
      <c r="I228" s="16" t="s">
        <v>58</v>
      </c>
      <c r="J228">
        <f t="shared" si="10"/>
        <v>57.5794</v>
      </c>
      <c r="K228" t="b">
        <v>1</v>
      </c>
      <c r="L228">
        <v>1</v>
      </c>
      <c r="M228" t="s">
        <v>15</v>
      </c>
    </row>
    <row r="229" spans="1:16" ht="15.6" x14ac:dyDescent="0.35">
      <c r="A229" t="s">
        <v>69</v>
      </c>
      <c r="B229" t="s">
        <v>70</v>
      </c>
      <c r="C229">
        <v>2025</v>
      </c>
      <c r="D229" t="s">
        <v>55</v>
      </c>
      <c r="E229" s="1" t="s">
        <v>22</v>
      </c>
      <c r="F229">
        <v>271</v>
      </c>
      <c r="G229" t="s">
        <v>14</v>
      </c>
      <c r="H229" s="9">
        <v>0.18573999999999999</v>
      </c>
      <c r="I229" s="16" t="s">
        <v>58</v>
      </c>
      <c r="J229">
        <f t="shared" si="10"/>
        <v>50.335539999999995</v>
      </c>
      <c r="K229" t="b">
        <v>0</v>
      </c>
      <c r="L229">
        <v>0</v>
      </c>
      <c r="M229" t="s">
        <v>20</v>
      </c>
    </row>
    <row r="230" spans="1:16" ht="15.6" x14ac:dyDescent="0.35">
      <c r="A230" t="s">
        <v>69</v>
      </c>
      <c r="B230" t="s">
        <v>70</v>
      </c>
      <c r="C230">
        <v>2025</v>
      </c>
      <c r="D230" t="s">
        <v>55</v>
      </c>
      <c r="E230" s="1" t="s">
        <v>23</v>
      </c>
      <c r="F230">
        <v>623</v>
      </c>
      <c r="G230" t="s">
        <v>14</v>
      </c>
      <c r="H230" s="9">
        <v>0.18573999999999999</v>
      </c>
      <c r="I230" s="16" t="s">
        <v>58</v>
      </c>
      <c r="J230">
        <f t="shared" si="10"/>
        <v>115.71601999999999</v>
      </c>
      <c r="K230" t="b">
        <v>1</v>
      </c>
      <c r="L230">
        <v>1</v>
      </c>
      <c r="M230" t="s">
        <v>5</v>
      </c>
    </row>
    <row r="232" spans="1:16" ht="15.6" x14ac:dyDescent="0.35">
      <c r="A232" t="s">
        <v>69</v>
      </c>
      <c r="B232" t="s">
        <v>70</v>
      </c>
      <c r="C232">
        <v>2025</v>
      </c>
      <c r="D232" t="s">
        <v>56</v>
      </c>
      <c r="E232" t="s">
        <v>3</v>
      </c>
      <c r="F232">
        <v>3798</v>
      </c>
      <c r="G232" t="s">
        <v>4</v>
      </c>
      <c r="H232" s="15">
        <v>0.20263999999999999</v>
      </c>
      <c r="I232" s="14" t="s">
        <v>58</v>
      </c>
      <c r="J232">
        <f>(F232*H232)</f>
        <v>769.62671999999998</v>
      </c>
      <c r="K232" t="b">
        <v>1</v>
      </c>
      <c r="L232">
        <v>1</v>
      </c>
      <c r="M232" t="s">
        <v>5</v>
      </c>
      <c r="O232">
        <f>(J232+J233+J234+J235+J239+J242+J243+J244+J247+J248+J249+J250)</f>
        <v>1911.2270799999997</v>
      </c>
      <c r="P232">
        <f>(J237+J240+J241+J245)</f>
        <v>776.53169000000014</v>
      </c>
    </row>
    <row r="233" spans="1:16" ht="15.6" x14ac:dyDescent="0.35">
      <c r="A233" t="s">
        <v>69</v>
      </c>
      <c r="B233" t="s">
        <v>70</v>
      </c>
      <c r="C233">
        <v>2025</v>
      </c>
      <c r="D233" t="s">
        <v>56</v>
      </c>
      <c r="E233" t="s">
        <v>6</v>
      </c>
      <c r="F233">
        <v>1065</v>
      </c>
      <c r="G233" t="s">
        <v>4</v>
      </c>
      <c r="H233" s="15">
        <v>0.26807999999999998</v>
      </c>
      <c r="I233" s="14" t="s">
        <v>58</v>
      </c>
      <c r="J233">
        <f t="shared" ref="J233:J250" si="11">(F233*H233)</f>
        <v>285.5052</v>
      </c>
      <c r="K233" t="b">
        <v>1</v>
      </c>
      <c r="L233">
        <v>1</v>
      </c>
      <c r="M233" t="s">
        <v>5</v>
      </c>
    </row>
    <row r="234" spans="1:16" ht="15.6" x14ac:dyDescent="0.35">
      <c r="A234" t="s">
        <v>69</v>
      </c>
      <c r="B234" t="s">
        <v>70</v>
      </c>
      <c r="C234">
        <v>2025</v>
      </c>
      <c r="D234" t="s">
        <v>56</v>
      </c>
      <c r="E234" t="s">
        <v>7</v>
      </c>
      <c r="F234">
        <v>282</v>
      </c>
      <c r="G234" t="s">
        <v>4</v>
      </c>
      <c r="H234" s="15">
        <v>0.23030999999999999</v>
      </c>
      <c r="I234" s="14" t="s">
        <v>58</v>
      </c>
      <c r="J234">
        <f t="shared" si="11"/>
        <v>64.947419999999994</v>
      </c>
      <c r="K234" t="b">
        <v>1</v>
      </c>
      <c r="L234">
        <v>1</v>
      </c>
      <c r="M234" t="s">
        <v>5</v>
      </c>
    </row>
    <row r="235" spans="1:16" ht="15.6" x14ac:dyDescent="0.35">
      <c r="A235" t="s">
        <v>69</v>
      </c>
      <c r="B235" t="s">
        <v>70</v>
      </c>
      <c r="C235">
        <v>2025</v>
      </c>
      <c r="D235" t="s">
        <v>56</v>
      </c>
      <c r="E235" t="s">
        <v>62</v>
      </c>
      <c r="F235">
        <v>702</v>
      </c>
      <c r="G235" t="s">
        <v>4</v>
      </c>
      <c r="H235" s="8">
        <v>1.132E-2</v>
      </c>
      <c r="I235" s="14" t="s">
        <v>58</v>
      </c>
      <c r="J235">
        <f t="shared" si="11"/>
        <v>7.9466400000000004</v>
      </c>
      <c r="K235" t="b">
        <v>1</v>
      </c>
      <c r="L235">
        <v>1</v>
      </c>
      <c r="M235" t="s">
        <v>5</v>
      </c>
    </row>
    <row r="236" spans="1:16" ht="15.6" x14ac:dyDescent="0.35">
      <c r="A236" t="s">
        <v>69</v>
      </c>
      <c r="B236" t="s">
        <v>70</v>
      </c>
      <c r="C236">
        <v>2025</v>
      </c>
      <c r="D236" t="s">
        <v>56</v>
      </c>
      <c r="E236" t="s">
        <v>8</v>
      </c>
      <c r="F236">
        <v>3639</v>
      </c>
      <c r="G236" t="s">
        <v>4</v>
      </c>
      <c r="H236" s="19">
        <v>0</v>
      </c>
      <c r="I236" s="14" t="s">
        <v>58</v>
      </c>
      <c r="J236">
        <f t="shared" si="11"/>
        <v>0</v>
      </c>
      <c r="K236" t="b">
        <v>1</v>
      </c>
      <c r="L236">
        <v>1</v>
      </c>
      <c r="M236" t="s">
        <v>9</v>
      </c>
    </row>
    <row r="237" spans="1:16" ht="15.6" x14ac:dyDescent="0.35">
      <c r="A237" t="s">
        <v>69</v>
      </c>
      <c r="B237" t="s">
        <v>70</v>
      </c>
      <c r="C237">
        <v>2025</v>
      </c>
      <c r="D237" t="s">
        <v>56</v>
      </c>
      <c r="E237" t="s">
        <v>10</v>
      </c>
      <c r="F237">
        <v>2458</v>
      </c>
      <c r="G237" t="s">
        <v>4</v>
      </c>
      <c r="H237" s="15">
        <v>0.20705000000000001</v>
      </c>
      <c r="I237" s="14" t="s">
        <v>58</v>
      </c>
      <c r="J237">
        <f t="shared" si="11"/>
        <v>508.92890000000006</v>
      </c>
      <c r="K237" t="b">
        <v>1</v>
      </c>
      <c r="L237">
        <v>1</v>
      </c>
      <c r="M237" t="s">
        <v>5</v>
      </c>
    </row>
    <row r="238" spans="1:16" ht="15.6" x14ac:dyDescent="0.35">
      <c r="A238" t="s">
        <v>69</v>
      </c>
      <c r="B238" t="s">
        <v>70</v>
      </c>
      <c r="C238">
        <v>2025</v>
      </c>
      <c r="D238" t="s">
        <v>56</v>
      </c>
      <c r="E238" t="s">
        <v>63</v>
      </c>
      <c r="F238">
        <v>1855</v>
      </c>
      <c r="G238" t="s">
        <v>4</v>
      </c>
      <c r="H238" s="20">
        <v>0</v>
      </c>
      <c r="I238" s="14" t="s">
        <v>58</v>
      </c>
      <c r="J238">
        <f t="shared" si="11"/>
        <v>0</v>
      </c>
      <c r="K238" t="b">
        <v>1</v>
      </c>
      <c r="L238">
        <v>1</v>
      </c>
      <c r="M238" t="s">
        <v>64</v>
      </c>
    </row>
    <row r="239" spans="1:16" ht="15.6" x14ac:dyDescent="0.35">
      <c r="A239" t="s">
        <v>69</v>
      </c>
      <c r="B239" t="s">
        <v>70</v>
      </c>
      <c r="C239">
        <v>2025</v>
      </c>
      <c r="D239" t="s">
        <v>56</v>
      </c>
      <c r="E239" t="s">
        <v>65</v>
      </c>
      <c r="F239">
        <v>101</v>
      </c>
      <c r="G239" t="s">
        <v>4</v>
      </c>
      <c r="H239" s="21">
        <v>0.20705000000000001</v>
      </c>
      <c r="I239" s="14" t="s">
        <v>58</v>
      </c>
      <c r="J239">
        <f t="shared" si="11"/>
        <v>20.912050000000001</v>
      </c>
      <c r="K239" t="b">
        <v>1</v>
      </c>
      <c r="L239">
        <v>1</v>
      </c>
      <c r="M239" t="s">
        <v>64</v>
      </c>
    </row>
    <row r="240" spans="1:16" ht="15.6" x14ac:dyDescent="0.35">
      <c r="A240" t="s">
        <v>69</v>
      </c>
      <c r="B240" t="s">
        <v>70</v>
      </c>
      <c r="C240">
        <v>2025</v>
      </c>
      <c r="D240" t="s">
        <v>56</v>
      </c>
      <c r="E240" t="s">
        <v>11</v>
      </c>
      <c r="F240">
        <v>192</v>
      </c>
      <c r="G240" t="s">
        <v>4</v>
      </c>
      <c r="H240" s="8">
        <v>0.20263999999999999</v>
      </c>
      <c r="I240" s="14" t="s">
        <v>58</v>
      </c>
      <c r="J240">
        <f t="shared" si="11"/>
        <v>38.906880000000001</v>
      </c>
      <c r="K240" t="b">
        <v>1</v>
      </c>
      <c r="L240">
        <v>1</v>
      </c>
      <c r="M240" t="s">
        <v>5</v>
      </c>
    </row>
    <row r="241" spans="1:13" ht="15.6" x14ac:dyDescent="0.35">
      <c r="A241" t="s">
        <v>69</v>
      </c>
      <c r="B241" t="s">
        <v>70</v>
      </c>
      <c r="C241">
        <v>2025</v>
      </c>
      <c r="D241" t="s">
        <v>56</v>
      </c>
      <c r="E241" t="s">
        <v>12</v>
      </c>
      <c r="F241">
        <v>650</v>
      </c>
      <c r="G241" t="s">
        <v>4</v>
      </c>
      <c r="H241" s="12">
        <v>0.17965</v>
      </c>
      <c r="I241" s="14" t="s">
        <v>58</v>
      </c>
      <c r="J241">
        <f t="shared" si="11"/>
        <v>116.77250000000001</v>
      </c>
      <c r="K241" t="b">
        <v>1</v>
      </c>
      <c r="L241">
        <v>1</v>
      </c>
      <c r="M241" t="s">
        <v>5</v>
      </c>
    </row>
    <row r="242" spans="1:13" ht="15.6" x14ac:dyDescent="0.35">
      <c r="A242" t="s">
        <v>69</v>
      </c>
      <c r="B242" t="s">
        <v>70</v>
      </c>
      <c r="C242">
        <v>2025</v>
      </c>
      <c r="D242" t="s">
        <v>56</v>
      </c>
      <c r="E242" s="1" t="s">
        <v>66</v>
      </c>
      <c r="F242">
        <v>549</v>
      </c>
      <c r="G242" t="s">
        <v>14</v>
      </c>
      <c r="H242" s="17">
        <v>0.15311</v>
      </c>
      <c r="I242" s="14" t="s">
        <v>58</v>
      </c>
      <c r="J242">
        <f t="shared" si="11"/>
        <v>84.057389999999998</v>
      </c>
      <c r="K242" t="b">
        <v>1</v>
      </c>
      <c r="L242">
        <v>1</v>
      </c>
      <c r="M242" t="s">
        <v>15</v>
      </c>
    </row>
    <row r="243" spans="1:13" ht="15.6" x14ac:dyDescent="0.35">
      <c r="A243" t="s">
        <v>69</v>
      </c>
      <c r="B243" t="s">
        <v>70</v>
      </c>
      <c r="C243">
        <v>2025</v>
      </c>
      <c r="D243" t="s">
        <v>56</v>
      </c>
      <c r="E243" s="1" t="s">
        <v>13</v>
      </c>
      <c r="F243">
        <v>409</v>
      </c>
      <c r="G243" t="s">
        <v>14</v>
      </c>
      <c r="H243" s="22">
        <v>0.34399999999999997</v>
      </c>
      <c r="I243" s="14" t="s">
        <v>58</v>
      </c>
      <c r="J243">
        <f t="shared" si="11"/>
        <v>140.696</v>
      </c>
      <c r="K243" t="b">
        <v>1</v>
      </c>
      <c r="L243">
        <v>1</v>
      </c>
      <c r="M243" t="s">
        <v>15</v>
      </c>
    </row>
    <row r="244" spans="1:13" ht="15.6" x14ac:dyDescent="0.35">
      <c r="A244" t="s">
        <v>69</v>
      </c>
      <c r="B244" t="s">
        <v>70</v>
      </c>
      <c r="C244">
        <v>2025</v>
      </c>
      <c r="D244" t="s">
        <v>56</v>
      </c>
      <c r="E244" s="1" t="s">
        <v>16</v>
      </c>
      <c r="F244">
        <v>442</v>
      </c>
      <c r="G244" t="s">
        <v>14</v>
      </c>
      <c r="H244" s="22">
        <v>0.54</v>
      </c>
      <c r="I244" s="14" t="s">
        <v>58</v>
      </c>
      <c r="J244">
        <f t="shared" si="11"/>
        <v>238.68</v>
      </c>
      <c r="K244" t="b">
        <v>0</v>
      </c>
      <c r="L244">
        <v>1</v>
      </c>
      <c r="M244" t="s">
        <v>17</v>
      </c>
    </row>
    <row r="245" spans="1:13" ht="15.6" x14ac:dyDescent="0.35">
      <c r="A245" t="s">
        <v>69</v>
      </c>
      <c r="B245" t="s">
        <v>70</v>
      </c>
      <c r="C245">
        <v>2025</v>
      </c>
      <c r="D245" t="s">
        <v>56</v>
      </c>
      <c r="E245" s="1" t="s">
        <v>18</v>
      </c>
      <c r="F245">
        <v>731</v>
      </c>
      <c r="G245" t="s">
        <v>14</v>
      </c>
      <c r="H245" s="17">
        <v>0.15311</v>
      </c>
      <c r="I245" s="16" t="s">
        <v>58</v>
      </c>
      <c r="J245">
        <f t="shared" si="11"/>
        <v>111.92341</v>
      </c>
      <c r="K245" t="b">
        <v>1</v>
      </c>
      <c r="L245">
        <v>1</v>
      </c>
      <c r="M245" t="s">
        <v>5</v>
      </c>
    </row>
    <row r="246" spans="1:13" ht="15.6" x14ac:dyDescent="0.35">
      <c r="A246" t="s">
        <v>69</v>
      </c>
      <c r="B246" t="s">
        <v>70</v>
      </c>
      <c r="C246">
        <v>2025</v>
      </c>
      <c r="D246" t="s">
        <v>56</v>
      </c>
      <c r="E246" s="1" t="s">
        <v>19</v>
      </c>
      <c r="F246">
        <v>140</v>
      </c>
      <c r="G246" t="s">
        <v>14</v>
      </c>
      <c r="H246" s="22">
        <v>0</v>
      </c>
      <c r="I246" s="14" t="s">
        <v>58</v>
      </c>
      <c r="J246">
        <f t="shared" si="11"/>
        <v>0</v>
      </c>
      <c r="K246" t="b">
        <v>0</v>
      </c>
      <c r="L246">
        <v>0</v>
      </c>
      <c r="M246" t="s">
        <v>20</v>
      </c>
    </row>
    <row r="247" spans="1:13" ht="15.6" x14ac:dyDescent="0.35">
      <c r="A247" t="s">
        <v>69</v>
      </c>
      <c r="B247" t="s">
        <v>70</v>
      </c>
      <c r="C247">
        <v>2025</v>
      </c>
      <c r="D247" t="s">
        <v>56</v>
      </c>
      <c r="E247" s="1" t="s">
        <v>67</v>
      </c>
      <c r="F247">
        <v>404</v>
      </c>
      <c r="G247" t="s">
        <v>14</v>
      </c>
      <c r="H247" s="9">
        <v>0.18573999999999999</v>
      </c>
      <c r="I247" s="16" t="s">
        <v>58</v>
      </c>
      <c r="J247">
        <f t="shared" si="11"/>
        <v>75.038959999999989</v>
      </c>
      <c r="K247" t="b">
        <v>1</v>
      </c>
      <c r="L247">
        <v>1</v>
      </c>
      <c r="M247" t="s">
        <v>68</v>
      </c>
    </row>
    <row r="248" spans="1:13" ht="15.6" x14ac:dyDescent="0.35">
      <c r="A248" t="s">
        <v>69</v>
      </c>
      <c r="B248" t="s">
        <v>70</v>
      </c>
      <c r="C248">
        <v>2025</v>
      </c>
      <c r="D248" t="s">
        <v>56</v>
      </c>
      <c r="E248" s="1" t="s">
        <v>21</v>
      </c>
      <c r="F248">
        <v>353</v>
      </c>
      <c r="G248" t="s">
        <v>14</v>
      </c>
      <c r="H248" s="9">
        <v>0.18573999999999999</v>
      </c>
      <c r="I248" s="16" t="s">
        <v>58</v>
      </c>
      <c r="J248">
        <f t="shared" si="11"/>
        <v>65.566220000000001</v>
      </c>
      <c r="K248" t="b">
        <v>1</v>
      </c>
      <c r="L248">
        <v>1</v>
      </c>
      <c r="M248" t="s">
        <v>15</v>
      </c>
    </row>
    <row r="249" spans="1:13" ht="15.6" x14ac:dyDescent="0.35">
      <c r="A249" t="s">
        <v>69</v>
      </c>
      <c r="B249" t="s">
        <v>70</v>
      </c>
      <c r="C249">
        <v>2025</v>
      </c>
      <c r="D249" t="s">
        <v>56</v>
      </c>
      <c r="E249" s="1" t="s">
        <v>22</v>
      </c>
      <c r="F249">
        <v>276</v>
      </c>
      <c r="G249" t="s">
        <v>14</v>
      </c>
      <c r="H249" s="9">
        <v>0.18573999999999999</v>
      </c>
      <c r="I249" s="16" t="s">
        <v>58</v>
      </c>
      <c r="J249">
        <f t="shared" si="11"/>
        <v>51.264239999999994</v>
      </c>
      <c r="K249" t="b">
        <v>0</v>
      </c>
      <c r="L249">
        <v>0</v>
      </c>
      <c r="M249" t="s">
        <v>20</v>
      </c>
    </row>
    <row r="250" spans="1:13" ht="15.6" x14ac:dyDescent="0.35">
      <c r="A250" t="s">
        <v>69</v>
      </c>
      <c r="B250" t="s">
        <v>70</v>
      </c>
      <c r="C250">
        <v>2025</v>
      </c>
      <c r="D250" t="s">
        <v>56</v>
      </c>
      <c r="E250" s="1" t="s">
        <v>23</v>
      </c>
      <c r="F250">
        <v>576</v>
      </c>
      <c r="G250" t="s">
        <v>14</v>
      </c>
      <c r="H250" s="9">
        <v>0.18573999999999999</v>
      </c>
      <c r="I250" s="16" t="s">
        <v>58</v>
      </c>
      <c r="J250">
        <f t="shared" si="11"/>
        <v>106.98624</v>
      </c>
      <c r="K250" t="b">
        <v>1</v>
      </c>
      <c r="L250">
        <v>1</v>
      </c>
      <c r="M250" t="s">
        <v>5</v>
      </c>
    </row>
  </sheetData>
  <mergeCells count="2">
    <mergeCell ref="A1:B1"/>
    <mergeCell ref="C7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02EE-AE5E-49F1-8AF0-7859EF8E5822}">
  <dimension ref="A1:L58"/>
  <sheetViews>
    <sheetView topLeftCell="F1" zoomScale="60" workbookViewId="0">
      <selection activeCell="M16" sqref="M16"/>
    </sheetView>
  </sheetViews>
  <sheetFormatPr defaultRowHeight="14.4" x14ac:dyDescent="0.3"/>
  <cols>
    <col min="1" max="1" width="19.21875" customWidth="1"/>
    <col min="2" max="2" width="15.21875" customWidth="1"/>
    <col min="3" max="3" width="14.6640625" customWidth="1"/>
    <col min="4" max="4" width="19.5546875" customWidth="1"/>
    <col min="5" max="5" width="17" customWidth="1"/>
    <col min="6" max="6" width="24.88671875" customWidth="1"/>
    <col min="7" max="7" width="26.5546875" customWidth="1"/>
    <col min="8" max="8" width="20.5546875" customWidth="1"/>
    <col min="9" max="9" width="15.109375" customWidth="1"/>
  </cols>
  <sheetData>
    <row r="1" spans="1:12" x14ac:dyDescent="0.3">
      <c r="A1" s="23" t="s">
        <v>71</v>
      </c>
      <c r="B1" s="23" t="s">
        <v>72</v>
      </c>
      <c r="C1" s="24" t="s">
        <v>38</v>
      </c>
      <c r="D1" s="23" t="s">
        <v>73</v>
      </c>
      <c r="E1" s="23" t="s">
        <v>74</v>
      </c>
      <c r="F1" s="23" t="s">
        <v>75</v>
      </c>
      <c r="G1" s="23" t="s">
        <v>76</v>
      </c>
      <c r="H1" s="4" t="s">
        <v>42</v>
      </c>
      <c r="I1" s="4" t="s">
        <v>59</v>
      </c>
      <c r="K1" s="38" t="s">
        <v>174</v>
      </c>
    </row>
    <row r="2" spans="1:12" ht="15.6" x14ac:dyDescent="0.35">
      <c r="K2" s="38">
        <f>SUM(I4:I58)</f>
        <v>77678.159999999974</v>
      </c>
      <c r="L2" s="14" t="s">
        <v>58</v>
      </c>
    </row>
    <row r="5" spans="1:12" ht="15.6" x14ac:dyDescent="0.35">
      <c r="A5" t="s">
        <v>77</v>
      </c>
      <c r="B5" t="s">
        <v>78</v>
      </c>
      <c r="C5">
        <v>2025</v>
      </c>
      <c r="D5" t="s">
        <v>79</v>
      </c>
      <c r="E5">
        <v>17025</v>
      </c>
      <c r="F5">
        <v>13.55</v>
      </c>
      <c r="G5">
        <v>0.15</v>
      </c>
      <c r="H5" s="14" t="s">
        <v>58</v>
      </c>
      <c r="I5">
        <f>(E5*G5)</f>
        <v>2553.75</v>
      </c>
    </row>
    <row r="6" spans="1:12" ht="15.6" x14ac:dyDescent="0.35">
      <c r="A6" t="s">
        <v>80</v>
      </c>
      <c r="B6" t="s">
        <v>78</v>
      </c>
      <c r="C6">
        <v>2025</v>
      </c>
      <c r="D6" t="s">
        <v>79</v>
      </c>
      <c r="E6">
        <v>20882</v>
      </c>
      <c r="F6">
        <v>11.44</v>
      </c>
      <c r="G6">
        <v>0.15</v>
      </c>
      <c r="H6" s="14" t="s">
        <v>58</v>
      </c>
      <c r="I6">
        <f>(E6*G6)</f>
        <v>3132.2999999999997</v>
      </c>
    </row>
    <row r="7" spans="1:12" ht="15.6" x14ac:dyDescent="0.35">
      <c r="A7" t="s">
        <v>81</v>
      </c>
      <c r="B7" t="s">
        <v>78</v>
      </c>
      <c r="C7">
        <v>2025</v>
      </c>
      <c r="D7" t="s">
        <v>79</v>
      </c>
      <c r="E7">
        <v>19034</v>
      </c>
      <c r="F7">
        <v>24.32</v>
      </c>
      <c r="G7">
        <v>0.15</v>
      </c>
      <c r="H7" s="14" t="s">
        <v>58</v>
      </c>
      <c r="I7">
        <f t="shared" ref="I7:I13" si="0">(E7*G7)</f>
        <v>2855.1</v>
      </c>
    </row>
    <row r="8" spans="1:12" ht="15.6" x14ac:dyDescent="0.35">
      <c r="A8" t="s">
        <v>82</v>
      </c>
      <c r="B8" t="s">
        <v>83</v>
      </c>
      <c r="C8">
        <v>2025</v>
      </c>
      <c r="D8" t="s">
        <v>79</v>
      </c>
      <c r="E8">
        <v>15585</v>
      </c>
      <c r="F8">
        <v>20.84</v>
      </c>
      <c r="G8">
        <v>0.15</v>
      </c>
      <c r="H8" s="14" t="s">
        <v>58</v>
      </c>
      <c r="I8">
        <f t="shared" si="0"/>
        <v>2337.75</v>
      </c>
    </row>
    <row r="9" spans="1:12" ht="15.6" x14ac:dyDescent="0.35">
      <c r="A9" t="s">
        <v>84</v>
      </c>
      <c r="B9" t="s">
        <v>85</v>
      </c>
      <c r="C9">
        <v>2025</v>
      </c>
      <c r="D9" t="s">
        <v>79</v>
      </c>
      <c r="E9">
        <v>13843</v>
      </c>
      <c r="F9">
        <v>13.65</v>
      </c>
      <c r="G9">
        <v>0.15</v>
      </c>
      <c r="H9" s="14" t="s">
        <v>58</v>
      </c>
      <c r="I9">
        <f t="shared" si="0"/>
        <v>2076.4499999999998</v>
      </c>
    </row>
    <row r="10" spans="1:12" ht="15.6" x14ac:dyDescent="0.35">
      <c r="A10" t="s">
        <v>86</v>
      </c>
      <c r="B10" t="s">
        <v>87</v>
      </c>
      <c r="C10">
        <v>2025</v>
      </c>
      <c r="D10" t="s">
        <v>79</v>
      </c>
      <c r="E10">
        <v>19382</v>
      </c>
      <c r="F10">
        <v>18.37</v>
      </c>
      <c r="G10">
        <v>0.15</v>
      </c>
      <c r="H10" s="14" t="s">
        <v>58</v>
      </c>
      <c r="I10">
        <f t="shared" si="0"/>
        <v>2907.2999999999997</v>
      </c>
    </row>
    <row r="11" spans="1:12" ht="15.6" x14ac:dyDescent="0.35">
      <c r="A11" t="s">
        <v>88</v>
      </c>
      <c r="B11" t="s">
        <v>85</v>
      </c>
      <c r="C11">
        <v>2025</v>
      </c>
      <c r="D11" t="s">
        <v>79</v>
      </c>
      <c r="E11">
        <v>9349</v>
      </c>
      <c r="F11">
        <v>14.12</v>
      </c>
      <c r="G11">
        <v>0.15</v>
      </c>
      <c r="H11" s="14" t="s">
        <v>58</v>
      </c>
      <c r="I11">
        <f t="shared" si="0"/>
        <v>1402.35</v>
      </c>
    </row>
    <row r="12" spans="1:12" ht="15.6" x14ac:dyDescent="0.35">
      <c r="A12" t="s">
        <v>89</v>
      </c>
      <c r="B12" t="s">
        <v>83</v>
      </c>
      <c r="C12">
        <v>2025</v>
      </c>
      <c r="D12" t="s">
        <v>79</v>
      </c>
      <c r="E12">
        <v>16451</v>
      </c>
      <c r="F12">
        <v>23.51</v>
      </c>
      <c r="G12">
        <v>0.15</v>
      </c>
      <c r="H12" s="14" t="s">
        <v>58</v>
      </c>
      <c r="I12">
        <f t="shared" si="0"/>
        <v>2467.65</v>
      </c>
    </row>
    <row r="13" spans="1:12" ht="15.6" x14ac:dyDescent="0.35">
      <c r="A13" t="s">
        <v>90</v>
      </c>
      <c r="B13" t="s">
        <v>78</v>
      </c>
      <c r="C13">
        <v>2025</v>
      </c>
      <c r="D13" t="s">
        <v>79</v>
      </c>
      <c r="E13">
        <v>19713</v>
      </c>
      <c r="F13">
        <v>10.17</v>
      </c>
      <c r="G13">
        <v>0.15</v>
      </c>
      <c r="H13" s="14" t="s">
        <v>58</v>
      </c>
      <c r="I13">
        <f t="shared" si="0"/>
        <v>2956.95</v>
      </c>
    </row>
    <row r="15" spans="1:12" ht="15.6" x14ac:dyDescent="0.35">
      <c r="A15" t="s">
        <v>91</v>
      </c>
      <c r="B15" t="s">
        <v>92</v>
      </c>
      <c r="C15">
        <v>2025</v>
      </c>
      <c r="D15" t="s">
        <v>93</v>
      </c>
      <c r="E15">
        <v>15622</v>
      </c>
      <c r="F15">
        <v>21.39</v>
      </c>
      <c r="G15">
        <v>0.18</v>
      </c>
      <c r="H15" s="14" t="s">
        <v>58</v>
      </c>
      <c r="I15">
        <f>(E15*G15)</f>
        <v>2811.96</v>
      </c>
    </row>
    <row r="16" spans="1:12" ht="15.6" x14ac:dyDescent="0.35">
      <c r="A16" t="s">
        <v>94</v>
      </c>
      <c r="B16" t="s">
        <v>95</v>
      </c>
      <c r="C16">
        <v>2025</v>
      </c>
      <c r="D16" t="s">
        <v>93</v>
      </c>
      <c r="E16">
        <v>13561</v>
      </c>
      <c r="F16">
        <v>18.78</v>
      </c>
      <c r="G16">
        <v>0.18</v>
      </c>
      <c r="H16" s="14" t="s">
        <v>58</v>
      </c>
      <c r="I16">
        <f>(E16*G16)</f>
        <v>2440.98</v>
      </c>
    </row>
    <row r="17" spans="1:9" ht="15.6" x14ac:dyDescent="0.35">
      <c r="A17" t="s">
        <v>96</v>
      </c>
      <c r="B17" t="s">
        <v>97</v>
      </c>
      <c r="C17">
        <v>2025</v>
      </c>
      <c r="D17" t="s">
        <v>93</v>
      </c>
      <c r="E17">
        <v>9475</v>
      </c>
      <c r="F17">
        <v>12.56</v>
      </c>
      <c r="G17">
        <v>0.18</v>
      </c>
      <c r="H17" s="14" t="s">
        <v>58</v>
      </c>
      <c r="I17">
        <f t="shared" ref="I17:I23" si="1">(E17*G17)</f>
        <v>1705.5</v>
      </c>
    </row>
    <row r="18" spans="1:9" ht="15.6" x14ac:dyDescent="0.35">
      <c r="A18" t="s">
        <v>98</v>
      </c>
      <c r="B18" t="s">
        <v>99</v>
      </c>
      <c r="C18">
        <v>2025</v>
      </c>
      <c r="D18" t="s">
        <v>93</v>
      </c>
      <c r="E18">
        <v>10290</v>
      </c>
      <c r="F18">
        <v>18.48</v>
      </c>
      <c r="G18">
        <v>0.18</v>
      </c>
      <c r="H18" s="14" t="s">
        <v>58</v>
      </c>
      <c r="I18">
        <f t="shared" si="1"/>
        <v>1852.1999999999998</v>
      </c>
    </row>
    <row r="19" spans="1:9" ht="15.6" x14ac:dyDescent="0.35">
      <c r="A19" t="s">
        <v>100</v>
      </c>
      <c r="B19" t="s">
        <v>92</v>
      </c>
      <c r="C19">
        <v>2025</v>
      </c>
      <c r="D19" t="s">
        <v>93</v>
      </c>
      <c r="E19">
        <v>12535</v>
      </c>
      <c r="F19">
        <v>12.56</v>
      </c>
      <c r="G19">
        <v>0.18</v>
      </c>
      <c r="H19" s="14" t="s">
        <v>58</v>
      </c>
      <c r="I19">
        <f t="shared" si="1"/>
        <v>2256.2999999999997</v>
      </c>
    </row>
    <row r="20" spans="1:9" ht="15.6" x14ac:dyDescent="0.35">
      <c r="A20" t="s">
        <v>101</v>
      </c>
      <c r="B20" t="s">
        <v>102</v>
      </c>
      <c r="C20">
        <v>2025</v>
      </c>
      <c r="D20" t="s">
        <v>93</v>
      </c>
      <c r="E20">
        <v>10381</v>
      </c>
      <c r="F20">
        <v>11</v>
      </c>
      <c r="G20">
        <v>0.18</v>
      </c>
      <c r="H20" s="14" t="s">
        <v>58</v>
      </c>
      <c r="I20">
        <f t="shared" si="1"/>
        <v>1868.58</v>
      </c>
    </row>
    <row r="21" spans="1:9" ht="15.6" x14ac:dyDescent="0.35">
      <c r="A21" t="s">
        <v>103</v>
      </c>
      <c r="B21" t="s">
        <v>92</v>
      </c>
      <c r="C21">
        <v>2025</v>
      </c>
      <c r="D21" t="s">
        <v>93</v>
      </c>
      <c r="E21">
        <v>19003</v>
      </c>
      <c r="F21">
        <v>23.91</v>
      </c>
      <c r="G21">
        <v>0.18</v>
      </c>
      <c r="H21" s="14" t="s">
        <v>58</v>
      </c>
      <c r="I21">
        <f t="shared" si="1"/>
        <v>3420.54</v>
      </c>
    </row>
    <row r="22" spans="1:9" ht="15.6" x14ac:dyDescent="0.35">
      <c r="A22" t="s">
        <v>104</v>
      </c>
      <c r="B22" t="s">
        <v>95</v>
      </c>
      <c r="C22">
        <v>2025</v>
      </c>
      <c r="D22" t="s">
        <v>93</v>
      </c>
      <c r="E22">
        <v>17882</v>
      </c>
      <c r="F22">
        <v>23.68</v>
      </c>
      <c r="G22">
        <v>0.18</v>
      </c>
      <c r="H22" s="14" t="s">
        <v>58</v>
      </c>
      <c r="I22">
        <f t="shared" si="1"/>
        <v>3218.7599999999998</v>
      </c>
    </row>
    <row r="23" spans="1:9" ht="15.6" x14ac:dyDescent="0.35">
      <c r="A23" t="s">
        <v>105</v>
      </c>
      <c r="B23" t="s">
        <v>99</v>
      </c>
      <c r="C23">
        <v>2025</v>
      </c>
      <c r="D23" t="s">
        <v>93</v>
      </c>
      <c r="E23">
        <v>13860</v>
      </c>
      <c r="F23">
        <v>10.63</v>
      </c>
      <c r="G23">
        <v>0.18</v>
      </c>
      <c r="H23" s="14" t="s">
        <v>58</v>
      </c>
      <c r="I23">
        <f t="shared" si="1"/>
        <v>2494.7999999999997</v>
      </c>
    </row>
    <row r="24" spans="1:9" ht="15.6" x14ac:dyDescent="0.35">
      <c r="A24" t="s">
        <v>106</v>
      </c>
      <c r="B24" t="s">
        <v>92</v>
      </c>
      <c r="C24">
        <v>2025</v>
      </c>
      <c r="D24" t="s">
        <v>93</v>
      </c>
      <c r="E24">
        <v>10668</v>
      </c>
      <c r="F24">
        <v>16.2</v>
      </c>
      <c r="G24">
        <v>0.18</v>
      </c>
      <c r="H24" s="14" t="s">
        <v>58</v>
      </c>
      <c r="I24">
        <f>(E24*G24)</f>
        <v>1920.24</v>
      </c>
    </row>
    <row r="26" spans="1:9" ht="15.6" x14ac:dyDescent="0.35">
      <c r="A26" t="s">
        <v>107</v>
      </c>
      <c r="B26" t="s">
        <v>108</v>
      </c>
      <c r="C26">
        <v>2025</v>
      </c>
      <c r="D26" t="s">
        <v>109</v>
      </c>
      <c r="E26">
        <v>12416</v>
      </c>
      <c r="F26" t="s">
        <v>110</v>
      </c>
      <c r="G26">
        <v>0.05</v>
      </c>
      <c r="H26" s="14" t="s">
        <v>58</v>
      </c>
      <c r="I26">
        <f>(E26*G26)</f>
        <v>620.80000000000007</v>
      </c>
    </row>
    <row r="27" spans="1:9" ht="15.6" x14ac:dyDescent="0.35">
      <c r="A27" t="s">
        <v>111</v>
      </c>
      <c r="B27" t="s">
        <v>112</v>
      </c>
      <c r="C27">
        <v>2025</v>
      </c>
      <c r="D27" t="s">
        <v>109</v>
      </c>
      <c r="E27">
        <v>11205</v>
      </c>
      <c r="F27" t="s">
        <v>110</v>
      </c>
      <c r="G27">
        <v>0.05</v>
      </c>
      <c r="H27" s="14" t="s">
        <v>58</v>
      </c>
      <c r="I27">
        <f>(E27*G27)</f>
        <v>560.25</v>
      </c>
    </row>
    <row r="28" spans="1:9" ht="15.6" x14ac:dyDescent="0.35">
      <c r="A28" t="s">
        <v>113</v>
      </c>
      <c r="B28" t="s">
        <v>112</v>
      </c>
      <c r="C28">
        <v>2025</v>
      </c>
      <c r="D28" t="s">
        <v>109</v>
      </c>
      <c r="E28">
        <v>15479</v>
      </c>
      <c r="F28" t="s">
        <v>110</v>
      </c>
      <c r="G28">
        <v>0.05</v>
      </c>
      <c r="H28" s="14" t="s">
        <v>58</v>
      </c>
      <c r="I28">
        <f t="shared" ref="I28:I34" si="2">(E28*G28)</f>
        <v>773.95</v>
      </c>
    </row>
    <row r="29" spans="1:9" ht="15.6" x14ac:dyDescent="0.35">
      <c r="A29" t="s">
        <v>114</v>
      </c>
      <c r="B29" t="s">
        <v>108</v>
      </c>
      <c r="C29">
        <v>2025</v>
      </c>
      <c r="D29" t="s">
        <v>109</v>
      </c>
      <c r="E29">
        <v>16020</v>
      </c>
      <c r="F29" t="s">
        <v>110</v>
      </c>
      <c r="G29">
        <v>0.05</v>
      </c>
      <c r="H29" s="14" t="s">
        <v>58</v>
      </c>
      <c r="I29">
        <f t="shared" si="2"/>
        <v>801</v>
      </c>
    </row>
    <row r="30" spans="1:9" ht="15.6" x14ac:dyDescent="0.35">
      <c r="A30" t="s">
        <v>115</v>
      </c>
      <c r="B30" t="s">
        <v>116</v>
      </c>
      <c r="C30">
        <v>2025</v>
      </c>
      <c r="D30" t="s">
        <v>109</v>
      </c>
      <c r="E30">
        <v>19834</v>
      </c>
      <c r="F30" t="s">
        <v>110</v>
      </c>
      <c r="G30">
        <v>0.05</v>
      </c>
      <c r="H30" s="14" t="s">
        <v>58</v>
      </c>
      <c r="I30">
        <f t="shared" si="2"/>
        <v>991.7</v>
      </c>
    </row>
    <row r="31" spans="1:9" ht="15.6" x14ac:dyDescent="0.35">
      <c r="A31" t="s">
        <v>117</v>
      </c>
      <c r="B31" t="s">
        <v>118</v>
      </c>
      <c r="C31">
        <v>2025</v>
      </c>
      <c r="D31" t="s">
        <v>109</v>
      </c>
      <c r="E31">
        <v>9078</v>
      </c>
      <c r="F31" t="s">
        <v>110</v>
      </c>
      <c r="G31">
        <v>0.05</v>
      </c>
      <c r="H31" s="14" t="s">
        <v>58</v>
      </c>
      <c r="I31">
        <f t="shared" si="2"/>
        <v>453.90000000000003</v>
      </c>
    </row>
    <row r="32" spans="1:9" ht="15.6" x14ac:dyDescent="0.35">
      <c r="A32" t="s">
        <v>119</v>
      </c>
      <c r="B32" t="s">
        <v>120</v>
      </c>
      <c r="C32">
        <v>2025</v>
      </c>
      <c r="D32" t="s">
        <v>109</v>
      </c>
      <c r="E32">
        <v>19774</v>
      </c>
      <c r="F32" t="s">
        <v>110</v>
      </c>
      <c r="G32">
        <v>0.05</v>
      </c>
      <c r="H32" s="14" t="s">
        <v>58</v>
      </c>
      <c r="I32">
        <f t="shared" si="2"/>
        <v>988.7</v>
      </c>
    </row>
    <row r="33" spans="1:9" ht="15.6" x14ac:dyDescent="0.35">
      <c r="A33" t="s">
        <v>121</v>
      </c>
      <c r="B33" t="s">
        <v>118</v>
      </c>
      <c r="C33">
        <v>2025</v>
      </c>
      <c r="D33" t="s">
        <v>109</v>
      </c>
      <c r="E33">
        <v>19114</v>
      </c>
      <c r="F33" t="s">
        <v>110</v>
      </c>
      <c r="G33">
        <v>0.05</v>
      </c>
      <c r="H33" s="14" t="s">
        <v>58</v>
      </c>
      <c r="I33">
        <f t="shared" si="2"/>
        <v>955.7</v>
      </c>
    </row>
    <row r="34" spans="1:9" ht="15.6" x14ac:dyDescent="0.35">
      <c r="A34" t="s">
        <v>122</v>
      </c>
      <c r="B34" t="s">
        <v>108</v>
      </c>
      <c r="C34">
        <v>2025</v>
      </c>
      <c r="D34" t="s">
        <v>109</v>
      </c>
      <c r="E34">
        <v>15335</v>
      </c>
      <c r="F34" t="s">
        <v>110</v>
      </c>
      <c r="G34">
        <v>0.05</v>
      </c>
      <c r="H34" s="14" t="s">
        <v>58</v>
      </c>
      <c r="I34">
        <f t="shared" si="2"/>
        <v>766.75</v>
      </c>
    </row>
    <row r="35" spans="1:9" ht="15.6" x14ac:dyDescent="0.35">
      <c r="A35" t="s">
        <v>123</v>
      </c>
      <c r="B35" t="s">
        <v>108</v>
      </c>
      <c r="C35">
        <v>2025</v>
      </c>
      <c r="D35" t="s">
        <v>109</v>
      </c>
      <c r="E35">
        <v>12459</v>
      </c>
      <c r="F35" t="s">
        <v>110</v>
      </c>
      <c r="G35">
        <v>0.05</v>
      </c>
      <c r="H35" s="14" t="s">
        <v>58</v>
      </c>
      <c r="I35">
        <f>(E35*G35)</f>
        <v>622.95000000000005</v>
      </c>
    </row>
    <row r="36" spans="1:9" ht="15.6" x14ac:dyDescent="0.35">
      <c r="A36" t="s">
        <v>124</v>
      </c>
      <c r="B36" t="s">
        <v>120</v>
      </c>
      <c r="C36">
        <v>2025</v>
      </c>
      <c r="D36" t="s">
        <v>109</v>
      </c>
      <c r="E36">
        <v>20064</v>
      </c>
      <c r="F36" t="s">
        <v>110</v>
      </c>
      <c r="G36">
        <v>0.05</v>
      </c>
      <c r="H36" s="14" t="s">
        <v>58</v>
      </c>
      <c r="I36">
        <f>(E36*G36)</f>
        <v>1003.2</v>
      </c>
    </row>
    <row r="37" spans="1:9" ht="15.6" x14ac:dyDescent="0.35">
      <c r="A37" t="s">
        <v>125</v>
      </c>
      <c r="B37" t="s">
        <v>108</v>
      </c>
      <c r="C37">
        <v>2025</v>
      </c>
      <c r="D37" t="s">
        <v>109</v>
      </c>
      <c r="E37">
        <v>12464</v>
      </c>
      <c r="F37" t="s">
        <v>110</v>
      </c>
      <c r="G37">
        <v>0.05</v>
      </c>
      <c r="H37" s="14" t="s">
        <v>58</v>
      </c>
      <c r="I37">
        <f>(E37*G37)</f>
        <v>623.20000000000005</v>
      </c>
    </row>
    <row r="39" spans="1:9" ht="15.6" x14ac:dyDescent="0.35">
      <c r="A39" t="s">
        <v>126</v>
      </c>
      <c r="B39" t="s">
        <v>127</v>
      </c>
      <c r="C39">
        <v>2025</v>
      </c>
      <c r="D39" t="s">
        <v>128</v>
      </c>
      <c r="E39">
        <v>19130</v>
      </c>
      <c r="F39">
        <v>11.21</v>
      </c>
      <c r="G39">
        <v>0.09</v>
      </c>
      <c r="H39" s="14" t="s">
        <v>58</v>
      </c>
      <c r="I39">
        <f>(E39*G39)</f>
        <v>1721.7</v>
      </c>
    </row>
    <row r="40" spans="1:9" ht="15.6" x14ac:dyDescent="0.35">
      <c r="A40" t="s">
        <v>129</v>
      </c>
      <c r="B40" t="s">
        <v>130</v>
      </c>
      <c r="C40">
        <v>2025</v>
      </c>
      <c r="D40" t="s">
        <v>128</v>
      </c>
      <c r="E40">
        <v>17239</v>
      </c>
      <c r="F40">
        <v>18.95</v>
      </c>
      <c r="G40">
        <v>0.09</v>
      </c>
      <c r="H40" s="14" t="s">
        <v>58</v>
      </c>
      <c r="I40">
        <f>(E40*G40)</f>
        <v>1551.51</v>
      </c>
    </row>
    <row r="41" spans="1:9" ht="15.6" x14ac:dyDescent="0.35">
      <c r="A41" t="s">
        <v>131</v>
      </c>
      <c r="B41" t="s">
        <v>132</v>
      </c>
      <c r="C41">
        <v>2025</v>
      </c>
      <c r="D41" t="s">
        <v>128</v>
      </c>
      <c r="E41">
        <v>11193</v>
      </c>
      <c r="F41">
        <v>10.53</v>
      </c>
      <c r="G41">
        <v>0.09</v>
      </c>
      <c r="H41" s="14" t="s">
        <v>58</v>
      </c>
      <c r="I41">
        <f t="shared" ref="I41:I47" si="3">(E41*G41)</f>
        <v>1007.37</v>
      </c>
    </row>
    <row r="42" spans="1:9" ht="15.6" x14ac:dyDescent="0.35">
      <c r="A42" t="s">
        <v>133</v>
      </c>
      <c r="B42" t="s">
        <v>127</v>
      </c>
      <c r="C42">
        <v>2025</v>
      </c>
      <c r="D42" t="s">
        <v>128</v>
      </c>
      <c r="E42">
        <v>9449</v>
      </c>
      <c r="F42">
        <v>10.48</v>
      </c>
      <c r="G42">
        <v>0.09</v>
      </c>
      <c r="H42" s="14" t="s">
        <v>58</v>
      </c>
      <c r="I42">
        <f t="shared" si="3"/>
        <v>850.41</v>
      </c>
    </row>
    <row r="43" spans="1:9" ht="15.6" x14ac:dyDescent="0.35">
      <c r="A43" t="s">
        <v>134</v>
      </c>
      <c r="B43" t="s">
        <v>127</v>
      </c>
      <c r="C43">
        <v>2025</v>
      </c>
      <c r="D43" t="s">
        <v>128</v>
      </c>
      <c r="E43">
        <v>10463</v>
      </c>
      <c r="F43">
        <v>11.31</v>
      </c>
      <c r="G43">
        <v>0.09</v>
      </c>
      <c r="H43" s="14" t="s">
        <v>58</v>
      </c>
      <c r="I43">
        <f t="shared" si="3"/>
        <v>941.67</v>
      </c>
    </row>
    <row r="44" spans="1:9" ht="15.6" x14ac:dyDescent="0.35">
      <c r="A44" t="s">
        <v>135</v>
      </c>
      <c r="B44" t="s">
        <v>130</v>
      </c>
      <c r="C44">
        <v>2025</v>
      </c>
      <c r="D44" t="s">
        <v>128</v>
      </c>
      <c r="E44">
        <v>11267</v>
      </c>
      <c r="F44">
        <v>12.63</v>
      </c>
      <c r="G44">
        <v>0.09</v>
      </c>
      <c r="H44" s="14" t="s">
        <v>58</v>
      </c>
      <c r="I44">
        <f t="shared" si="3"/>
        <v>1014.03</v>
      </c>
    </row>
    <row r="45" spans="1:9" ht="15.6" x14ac:dyDescent="0.35">
      <c r="A45" t="s">
        <v>136</v>
      </c>
      <c r="B45" t="s">
        <v>132</v>
      </c>
      <c r="C45">
        <v>2025</v>
      </c>
      <c r="D45" t="s">
        <v>128</v>
      </c>
      <c r="E45">
        <v>9298</v>
      </c>
      <c r="F45">
        <v>21.59</v>
      </c>
      <c r="G45">
        <v>0.09</v>
      </c>
      <c r="H45" s="14" t="s">
        <v>58</v>
      </c>
      <c r="I45">
        <f t="shared" si="3"/>
        <v>836.81999999999994</v>
      </c>
    </row>
    <row r="46" spans="1:9" ht="15.6" x14ac:dyDescent="0.35">
      <c r="A46" t="s">
        <v>137</v>
      </c>
      <c r="B46" t="s">
        <v>132</v>
      </c>
      <c r="C46">
        <v>2025</v>
      </c>
      <c r="D46" t="s">
        <v>128</v>
      </c>
      <c r="E46">
        <v>21146</v>
      </c>
      <c r="F46">
        <v>14.53</v>
      </c>
      <c r="G46">
        <v>0.09</v>
      </c>
      <c r="H46" s="14" t="s">
        <v>58</v>
      </c>
      <c r="I46">
        <f t="shared" si="3"/>
        <v>1903.1399999999999</v>
      </c>
    </row>
    <row r="47" spans="1:9" ht="15.6" x14ac:dyDescent="0.35">
      <c r="A47" t="s">
        <v>138</v>
      </c>
      <c r="B47" t="s">
        <v>132</v>
      </c>
      <c r="C47">
        <v>2025</v>
      </c>
      <c r="D47" t="s">
        <v>128</v>
      </c>
      <c r="E47">
        <v>15002</v>
      </c>
      <c r="F47">
        <v>11.26</v>
      </c>
      <c r="G47">
        <v>0.09</v>
      </c>
      <c r="H47" s="14" t="s">
        <v>58</v>
      </c>
      <c r="I47">
        <f t="shared" si="3"/>
        <v>1350.1799999999998</v>
      </c>
    </row>
    <row r="48" spans="1:9" ht="15.6" x14ac:dyDescent="0.35">
      <c r="A48" t="s">
        <v>139</v>
      </c>
      <c r="B48" t="s">
        <v>140</v>
      </c>
      <c r="C48">
        <v>2025</v>
      </c>
      <c r="D48" t="s">
        <v>128</v>
      </c>
      <c r="E48">
        <v>19704</v>
      </c>
      <c r="F48">
        <v>17.84</v>
      </c>
      <c r="G48">
        <v>0.09</v>
      </c>
      <c r="H48" s="14" t="s">
        <v>58</v>
      </c>
      <c r="I48">
        <f>(E48*G48)</f>
        <v>1773.36</v>
      </c>
    </row>
    <row r="49" spans="1:9" ht="15.6" x14ac:dyDescent="0.35">
      <c r="A49" t="s">
        <v>141</v>
      </c>
      <c r="B49" t="s">
        <v>130</v>
      </c>
      <c r="C49">
        <v>2025</v>
      </c>
      <c r="D49" t="s">
        <v>128</v>
      </c>
      <c r="E49">
        <v>10820</v>
      </c>
      <c r="F49">
        <v>16.71</v>
      </c>
      <c r="G49">
        <v>0.09</v>
      </c>
      <c r="H49" s="14" t="s">
        <v>58</v>
      </c>
      <c r="I49">
        <f>(E49*G49)</f>
        <v>973.8</v>
      </c>
    </row>
    <row r="50" spans="1:9" ht="15.6" x14ac:dyDescent="0.35">
      <c r="A50" t="s">
        <v>142</v>
      </c>
      <c r="B50" t="s">
        <v>143</v>
      </c>
      <c r="C50">
        <v>2025</v>
      </c>
      <c r="D50" t="s">
        <v>128</v>
      </c>
      <c r="E50">
        <v>13630</v>
      </c>
      <c r="F50">
        <v>22.11</v>
      </c>
      <c r="G50">
        <v>0.09</v>
      </c>
      <c r="H50" s="14" t="s">
        <v>58</v>
      </c>
      <c r="I50">
        <f>(E50*G50)</f>
        <v>1226.7</v>
      </c>
    </row>
    <row r="52" spans="1:9" ht="15.6" x14ac:dyDescent="0.35">
      <c r="A52" t="s">
        <v>144</v>
      </c>
      <c r="B52" t="s">
        <v>145</v>
      </c>
      <c r="C52">
        <v>2025</v>
      </c>
      <c r="D52" t="s">
        <v>146</v>
      </c>
      <c r="E52">
        <v>13952</v>
      </c>
      <c r="F52">
        <v>12.27</v>
      </c>
      <c r="G52">
        <v>7.0000000000000007E-2</v>
      </c>
      <c r="H52" s="14" t="s">
        <v>58</v>
      </c>
      <c r="I52">
        <f>(E52*G52)</f>
        <v>976.6400000000001</v>
      </c>
    </row>
    <row r="53" spans="1:9" ht="15.6" x14ac:dyDescent="0.35">
      <c r="A53" t="s">
        <v>147</v>
      </c>
      <c r="B53" t="s">
        <v>148</v>
      </c>
      <c r="C53">
        <v>2025</v>
      </c>
      <c r="D53" t="s">
        <v>146</v>
      </c>
      <c r="E53">
        <v>9906</v>
      </c>
      <c r="F53">
        <v>22.06</v>
      </c>
      <c r="G53">
        <v>7.0000000000000007E-2</v>
      </c>
      <c r="H53" s="14" t="s">
        <v>58</v>
      </c>
      <c r="I53">
        <f>(E53*G53)</f>
        <v>693.42000000000007</v>
      </c>
    </row>
    <row r="54" spans="1:9" ht="15.6" x14ac:dyDescent="0.35">
      <c r="A54" t="s">
        <v>149</v>
      </c>
      <c r="B54" t="s">
        <v>150</v>
      </c>
      <c r="C54">
        <v>2025</v>
      </c>
      <c r="D54" t="s">
        <v>146</v>
      </c>
      <c r="E54">
        <v>14820</v>
      </c>
      <c r="F54">
        <v>22.33</v>
      </c>
      <c r="G54">
        <v>7.0000000000000007E-2</v>
      </c>
      <c r="H54" s="14" t="s">
        <v>58</v>
      </c>
      <c r="I54">
        <f t="shared" ref="I54:I58" si="4">(E54*G54)</f>
        <v>1037.4000000000001</v>
      </c>
    </row>
    <row r="55" spans="1:9" ht="15.6" x14ac:dyDescent="0.35">
      <c r="A55" t="s">
        <v>151</v>
      </c>
      <c r="B55" t="s">
        <v>152</v>
      </c>
      <c r="C55">
        <v>2025</v>
      </c>
      <c r="D55" t="s">
        <v>146</v>
      </c>
      <c r="E55">
        <v>14193</v>
      </c>
      <c r="F55">
        <v>11.31</v>
      </c>
      <c r="G55">
        <v>7.0000000000000007E-2</v>
      </c>
      <c r="H55" s="14" t="s">
        <v>58</v>
      </c>
      <c r="I55">
        <f t="shared" si="4"/>
        <v>993.5100000000001</v>
      </c>
    </row>
    <row r="56" spans="1:9" ht="15.6" x14ac:dyDescent="0.35">
      <c r="A56" t="s">
        <v>153</v>
      </c>
      <c r="B56" t="s">
        <v>148</v>
      </c>
      <c r="C56">
        <v>2025</v>
      </c>
      <c r="D56" t="s">
        <v>146</v>
      </c>
      <c r="E56">
        <v>12963</v>
      </c>
      <c r="F56">
        <v>10.88</v>
      </c>
      <c r="G56">
        <v>7.0000000000000007E-2</v>
      </c>
      <c r="H56" s="14" t="s">
        <v>58</v>
      </c>
      <c r="I56">
        <f t="shared" si="4"/>
        <v>907.41000000000008</v>
      </c>
    </row>
    <row r="57" spans="1:9" ht="15.6" x14ac:dyDescent="0.35">
      <c r="A57" t="s">
        <v>154</v>
      </c>
      <c r="B57" t="s">
        <v>155</v>
      </c>
      <c r="C57">
        <v>2025</v>
      </c>
      <c r="D57" t="s">
        <v>146</v>
      </c>
      <c r="E57">
        <v>18757</v>
      </c>
      <c r="F57">
        <v>23.06</v>
      </c>
      <c r="G57">
        <v>7.0000000000000007E-2</v>
      </c>
      <c r="H57" s="14" t="s">
        <v>58</v>
      </c>
      <c r="I57">
        <f t="shared" si="4"/>
        <v>1312.9900000000002</v>
      </c>
    </row>
    <row r="58" spans="1:9" ht="15.6" x14ac:dyDescent="0.35">
      <c r="A58" t="s">
        <v>156</v>
      </c>
      <c r="B58" t="s">
        <v>145</v>
      </c>
      <c r="C58">
        <v>2025</v>
      </c>
      <c r="D58" t="s">
        <v>146</v>
      </c>
      <c r="E58">
        <v>10922</v>
      </c>
      <c r="F58">
        <v>24.2</v>
      </c>
      <c r="G58">
        <v>7.0000000000000007E-2</v>
      </c>
      <c r="H58" s="14" t="s">
        <v>58</v>
      </c>
      <c r="I58">
        <f t="shared" si="4"/>
        <v>764.54000000000008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FE0F-9855-41DF-B8C9-9B4622CB3400}">
  <dimension ref="A1:O67"/>
  <sheetViews>
    <sheetView zoomScale="58" workbookViewId="0">
      <selection activeCell="O2" sqref="O2"/>
    </sheetView>
  </sheetViews>
  <sheetFormatPr defaultRowHeight="14.4" x14ac:dyDescent="0.3"/>
  <cols>
    <col min="1" max="1" width="17.33203125" customWidth="1"/>
    <col min="2" max="2" width="13.21875" customWidth="1"/>
    <col min="3" max="3" width="15" customWidth="1"/>
    <col min="4" max="4" width="18.77734375" customWidth="1"/>
    <col min="5" max="5" width="17.5546875" customWidth="1"/>
    <col min="6" max="7" width="15.77734375" customWidth="1"/>
    <col min="8" max="8" width="19" customWidth="1"/>
    <col min="9" max="9" width="18.33203125" customWidth="1"/>
    <col min="10" max="10" width="16" customWidth="1"/>
    <col min="11" max="11" width="16.6640625" customWidth="1"/>
    <col min="12" max="12" width="18.21875" customWidth="1"/>
    <col min="13" max="13" width="18.21875" style="41" customWidth="1"/>
    <col min="14" max="14" width="16.109375" customWidth="1"/>
  </cols>
  <sheetData>
    <row r="1" spans="1:15" s="30" customFormat="1" ht="39.6" customHeight="1" x14ac:dyDescent="0.3">
      <c r="A1" s="27" t="s">
        <v>157</v>
      </c>
      <c r="B1" s="27" t="s">
        <v>38</v>
      </c>
      <c r="C1" s="27" t="s">
        <v>158</v>
      </c>
      <c r="D1" s="27" t="s">
        <v>159</v>
      </c>
      <c r="E1" s="27" t="s">
        <v>160</v>
      </c>
      <c r="F1" s="27" t="s">
        <v>161</v>
      </c>
      <c r="G1" s="28" t="s">
        <v>167</v>
      </c>
      <c r="H1" s="27" t="s">
        <v>162</v>
      </c>
      <c r="I1" s="27" t="s">
        <v>163</v>
      </c>
      <c r="J1" s="29" t="s">
        <v>57</v>
      </c>
      <c r="K1" s="31" t="s">
        <v>175</v>
      </c>
      <c r="L1" s="50" t="s">
        <v>42</v>
      </c>
      <c r="M1" s="53"/>
      <c r="N1" s="49" t="s">
        <v>174</v>
      </c>
    </row>
    <row r="2" spans="1:15" ht="15.6" x14ac:dyDescent="0.35">
      <c r="N2" s="38">
        <f>SUM(K5:K66)</f>
        <v>9044921</v>
      </c>
      <c r="O2" s="14" t="s">
        <v>58</v>
      </c>
    </row>
    <row r="5" spans="1:15" ht="15.6" x14ac:dyDescent="0.35">
      <c r="A5" t="s">
        <v>164</v>
      </c>
      <c r="B5">
        <v>2025</v>
      </c>
      <c r="C5">
        <v>200</v>
      </c>
      <c r="D5">
        <v>164</v>
      </c>
      <c r="E5">
        <v>143</v>
      </c>
      <c r="F5">
        <v>29</v>
      </c>
      <c r="G5" s="25">
        <f>(C5-D5+E5-F5)</f>
        <v>150</v>
      </c>
      <c r="H5">
        <v>424</v>
      </c>
      <c r="I5">
        <v>201</v>
      </c>
      <c r="J5" s="21">
        <v>677</v>
      </c>
      <c r="K5" s="14">
        <f>(G5*J5)</f>
        <v>101550</v>
      </c>
      <c r="L5" s="51" t="s">
        <v>58</v>
      </c>
      <c r="M5" s="54"/>
    </row>
    <row r="6" spans="1:15" ht="15.6" x14ac:dyDescent="0.35">
      <c r="A6" t="s">
        <v>164</v>
      </c>
      <c r="B6">
        <v>2025</v>
      </c>
      <c r="C6">
        <v>141</v>
      </c>
      <c r="D6">
        <v>46</v>
      </c>
      <c r="E6">
        <v>243</v>
      </c>
      <c r="F6">
        <v>5</v>
      </c>
      <c r="G6" s="25">
        <f t="shared" ref="G6:G66" si="0">(C6-D6+E6-F6)</f>
        <v>333</v>
      </c>
      <c r="H6">
        <v>487</v>
      </c>
      <c r="I6">
        <v>411</v>
      </c>
      <c r="J6" s="21">
        <v>677</v>
      </c>
      <c r="K6" s="14">
        <f t="shared" ref="K6:K24" si="1">(G6*J6)</f>
        <v>225441</v>
      </c>
      <c r="L6" s="51" t="s">
        <v>58</v>
      </c>
      <c r="M6" s="54"/>
    </row>
    <row r="7" spans="1:15" ht="15.6" x14ac:dyDescent="0.35">
      <c r="A7" t="s">
        <v>164</v>
      </c>
      <c r="B7">
        <v>2025</v>
      </c>
      <c r="C7">
        <v>149</v>
      </c>
      <c r="D7">
        <v>80</v>
      </c>
      <c r="E7">
        <v>124</v>
      </c>
      <c r="F7">
        <v>38</v>
      </c>
      <c r="G7" s="25">
        <f t="shared" si="0"/>
        <v>155</v>
      </c>
      <c r="H7">
        <v>479</v>
      </c>
      <c r="I7">
        <v>396</v>
      </c>
      <c r="J7" s="21">
        <v>677</v>
      </c>
      <c r="K7" s="14">
        <f t="shared" si="1"/>
        <v>104935</v>
      </c>
      <c r="L7" s="51" t="s">
        <v>58</v>
      </c>
      <c r="M7" s="54"/>
    </row>
    <row r="8" spans="1:15" ht="15.6" x14ac:dyDescent="0.35">
      <c r="A8" t="s">
        <v>164</v>
      </c>
      <c r="B8">
        <v>2025</v>
      </c>
      <c r="C8">
        <v>87</v>
      </c>
      <c r="D8">
        <v>58</v>
      </c>
      <c r="E8">
        <v>294</v>
      </c>
      <c r="F8">
        <v>17</v>
      </c>
      <c r="G8" s="25">
        <f t="shared" si="0"/>
        <v>306</v>
      </c>
      <c r="H8">
        <v>433</v>
      </c>
      <c r="I8">
        <v>361</v>
      </c>
      <c r="J8" s="21">
        <v>677</v>
      </c>
      <c r="K8" s="14">
        <f t="shared" si="1"/>
        <v>207162</v>
      </c>
      <c r="L8" s="51" t="s">
        <v>58</v>
      </c>
      <c r="M8" s="54"/>
    </row>
    <row r="9" spans="1:15" ht="15.6" x14ac:dyDescent="0.35">
      <c r="A9" t="s">
        <v>164</v>
      </c>
      <c r="B9">
        <v>2025</v>
      </c>
      <c r="C9">
        <v>85</v>
      </c>
      <c r="D9">
        <v>74</v>
      </c>
      <c r="E9">
        <v>246</v>
      </c>
      <c r="F9">
        <v>40</v>
      </c>
      <c r="G9" s="25">
        <f t="shared" si="0"/>
        <v>217</v>
      </c>
      <c r="H9">
        <v>362</v>
      </c>
      <c r="I9">
        <v>466</v>
      </c>
      <c r="J9" s="21">
        <v>677</v>
      </c>
      <c r="K9" s="14">
        <f t="shared" si="1"/>
        <v>146909</v>
      </c>
      <c r="L9" s="51" t="s">
        <v>58</v>
      </c>
      <c r="M9" s="54"/>
    </row>
    <row r="10" spans="1:15" ht="15.6" x14ac:dyDescent="0.35">
      <c r="A10" t="s">
        <v>164</v>
      </c>
      <c r="B10">
        <v>2025</v>
      </c>
      <c r="C10">
        <v>78</v>
      </c>
      <c r="D10">
        <v>77</v>
      </c>
      <c r="E10">
        <v>213</v>
      </c>
      <c r="F10">
        <v>33</v>
      </c>
      <c r="G10" s="25">
        <f t="shared" si="0"/>
        <v>181</v>
      </c>
      <c r="H10">
        <v>414</v>
      </c>
      <c r="I10">
        <v>334</v>
      </c>
      <c r="J10" s="21">
        <v>677</v>
      </c>
      <c r="K10" s="14">
        <f t="shared" si="1"/>
        <v>122537</v>
      </c>
      <c r="L10" s="51" t="s">
        <v>58</v>
      </c>
      <c r="M10" s="54"/>
    </row>
    <row r="11" spans="1:15" ht="15.6" x14ac:dyDescent="0.35">
      <c r="A11" t="s">
        <v>164</v>
      </c>
      <c r="B11">
        <v>2025</v>
      </c>
      <c r="C11">
        <v>81</v>
      </c>
      <c r="D11">
        <v>39</v>
      </c>
      <c r="E11">
        <v>215</v>
      </c>
      <c r="F11">
        <v>38</v>
      </c>
      <c r="G11" s="25">
        <f t="shared" si="0"/>
        <v>219</v>
      </c>
      <c r="H11">
        <v>578</v>
      </c>
      <c r="I11">
        <v>476</v>
      </c>
      <c r="J11" s="21">
        <v>677</v>
      </c>
      <c r="K11" s="14">
        <f t="shared" si="1"/>
        <v>148263</v>
      </c>
      <c r="L11" s="51" t="s">
        <v>58</v>
      </c>
      <c r="M11" s="55"/>
    </row>
    <row r="12" spans="1:15" ht="15.6" x14ac:dyDescent="0.35">
      <c r="A12" t="s">
        <v>164</v>
      </c>
      <c r="B12">
        <v>2025</v>
      </c>
      <c r="C12">
        <v>63</v>
      </c>
      <c r="D12">
        <v>47</v>
      </c>
      <c r="E12">
        <v>241</v>
      </c>
      <c r="F12">
        <v>2</v>
      </c>
      <c r="G12" s="25">
        <f t="shared" si="0"/>
        <v>255</v>
      </c>
      <c r="H12">
        <v>450</v>
      </c>
      <c r="I12">
        <v>589</v>
      </c>
      <c r="J12" s="21">
        <v>677</v>
      </c>
      <c r="K12" s="14">
        <f t="shared" si="1"/>
        <v>172635</v>
      </c>
      <c r="L12" s="51" t="s">
        <v>58</v>
      </c>
      <c r="M12" s="54"/>
    </row>
    <row r="13" spans="1:15" ht="15.6" x14ac:dyDescent="0.35">
      <c r="A13" t="s">
        <v>164</v>
      </c>
      <c r="B13">
        <v>2025</v>
      </c>
      <c r="C13">
        <v>154</v>
      </c>
      <c r="D13">
        <v>51</v>
      </c>
      <c r="E13">
        <v>194</v>
      </c>
      <c r="F13">
        <v>19</v>
      </c>
      <c r="G13" s="25">
        <f t="shared" si="0"/>
        <v>278</v>
      </c>
      <c r="H13">
        <v>491</v>
      </c>
      <c r="I13">
        <v>371</v>
      </c>
      <c r="J13" s="21">
        <v>677</v>
      </c>
      <c r="K13" s="14">
        <f t="shared" si="1"/>
        <v>188206</v>
      </c>
      <c r="L13" s="51" t="s">
        <v>58</v>
      </c>
      <c r="M13" s="54"/>
    </row>
    <row r="14" spans="1:15" ht="15.6" x14ac:dyDescent="0.35">
      <c r="A14" t="s">
        <v>164</v>
      </c>
      <c r="B14">
        <v>2025</v>
      </c>
      <c r="C14">
        <v>77</v>
      </c>
      <c r="D14">
        <v>42</v>
      </c>
      <c r="E14">
        <v>218</v>
      </c>
      <c r="F14">
        <v>38</v>
      </c>
      <c r="G14" s="25">
        <f t="shared" si="0"/>
        <v>215</v>
      </c>
      <c r="H14">
        <v>326</v>
      </c>
      <c r="I14">
        <v>432</v>
      </c>
      <c r="J14" s="21">
        <v>677</v>
      </c>
      <c r="K14" s="14">
        <f t="shared" si="1"/>
        <v>145555</v>
      </c>
      <c r="L14" s="51" t="s">
        <v>58</v>
      </c>
      <c r="M14" s="54"/>
    </row>
    <row r="15" spans="1:15" ht="15.6" x14ac:dyDescent="0.35">
      <c r="A15" t="s">
        <v>164</v>
      </c>
      <c r="B15">
        <v>2025</v>
      </c>
      <c r="C15">
        <v>58</v>
      </c>
      <c r="D15">
        <v>26</v>
      </c>
      <c r="E15">
        <v>138</v>
      </c>
      <c r="F15">
        <v>42</v>
      </c>
      <c r="G15" s="25">
        <f t="shared" si="0"/>
        <v>128</v>
      </c>
      <c r="H15">
        <v>482</v>
      </c>
      <c r="I15">
        <v>589</v>
      </c>
      <c r="J15" s="21">
        <v>677</v>
      </c>
      <c r="K15" s="14">
        <f t="shared" si="1"/>
        <v>86656</v>
      </c>
      <c r="L15" s="51" t="s">
        <v>58</v>
      </c>
      <c r="M15" s="54"/>
    </row>
    <row r="16" spans="1:15" ht="15.6" x14ac:dyDescent="0.35">
      <c r="A16" t="s">
        <v>164</v>
      </c>
      <c r="B16">
        <v>2025</v>
      </c>
      <c r="C16">
        <v>198</v>
      </c>
      <c r="D16">
        <v>24</v>
      </c>
      <c r="E16">
        <v>102</v>
      </c>
      <c r="F16">
        <v>44</v>
      </c>
      <c r="G16" s="25">
        <f t="shared" si="0"/>
        <v>232</v>
      </c>
      <c r="H16">
        <v>329</v>
      </c>
      <c r="I16">
        <v>449</v>
      </c>
      <c r="J16" s="21">
        <v>677</v>
      </c>
      <c r="K16" s="14">
        <f t="shared" si="1"/>
        <v>157064</v>
      </c>
      <c r="L16" s="51" t="s">
        <v>58</v>
      </c>
      <c r="M16" s="54"/>
    </row>
    <row r="17" spans="1:13" ht="15.6" x14ac:dyDescent="0.35">
      <c r="A17" t="s">
        <v>164</v>
      </c>
      <c r="B17">
        <v>2025</v>
      </c>
      <c r="C17">
        <v>154</v>
      </c>
      <c r="D17">
        <v>113</v>
      </c>
      <c r="E17">
        <v>261</v>
      </c>
      <c r="F17">
        <v>17</v>
      </c>
      <c r="G17" s="25">
        <f t="shared" si="0"/>
        <v>285</v>
      </c>
      <c r="H17">
        <v>360</v>
      </c>
      <c r="I17">
        <v>233</v>
      </c>
      <c r="J17" s="21">
        <v>677</v>
      </c>
      <c r="K17" s="14">
        <f t="shared" si="1"/>
        <v>192945</v>
      </c>
      <c r="L17" s="51" t="s">
        <v>58</v>
      </c>
      <c r="M17" s="54"/>
    </row>
    <row r="18" spans="1:13" ht="15.6" x14ac:dyDescent="0.35">
      <c r="A18" t="s">
        <v>164</v>
      </c>
      <c r="B18">
        <v>2025</v>
      </c>
      <c r="C18">
        <v>84</v>
      </c>
      <c r="D18">
        <v>50</v>
      </c>
      <c r="E18">
        <v>230</v>
      </c>
      <c r="F18">
        <v>35</v>
      </c>
      <c r="G18" s="25">
        <f t="shared" si="0"/>
        <v>229</v>
      </c>
      <c r="H18">
        <v>417</v>
      </c>
      <c r="I18">
        <v>503</v>
      </c>
      <c r="J18" s="21">
        <v>677</v>
      </c>
      <c r="K18" s="14">
        <f t="shared" si="1"/>
        <v>155033</v>
      </c>
      <c r="L18" s="52" t="s">
        <v>58</v>
      </c>
      <c r="M18" s="54"/>
    </row>
    <row r="19" spans="1:13" ht="15.6" x14ac:dyDescent="0.35">
      <c r="A19" t="s">
        <v>164</v>
      </c>
      <c r="B19">
        <v>2025</v>
      </c>
      <c r="C19">
        <v>130</v>
      </c>
      <c r="D19">
        <v>71</v>
      </c>
      <c r="E19">
        <v>279</v>
      </c>
      <c r="F19">
        <v>14</v>
      </c>
      <c r="G19" s="25">
        <f t="shared" si="0"/>
        <v>324</v>
      </c>
      <c r="H19">
        <v>511</v>
      </c>
      <c r="I19">
        <v>547</v>
      </c>
      <c r="J19" s="21">
        <v>677</v>
      </c>
      <c r="K19" s="14">
        <f t="shared" si="1"/>
        <v>219348</v>
      </c>
      <c r="L19" s="51" t="s">
        <v>58</v>
      </c>
      <c r="M19" s="54"/>
    </row>
    <row r="20" spans="1:13" ht="15.6" x14ac:dyDescent="0.35">
      <c r="A20" t="s">
        <v>164</v>
      </c>
      <c r="B20">
        <v>2025</v>
      </c>
      <c r="C20">
        <v>140</v>
      </c>
      <c r="D20">
        <v>50</v>
      </c>
      <c r="E20">
        <v>261</v>
      </c>
      <c r="F20">
        <v>35</v>
      </c>
      <c r="G20" s="25">
        <f t="shared" si="0"/>
        <v>316</v>
      </c>
      <c r="H20">
        <v>493</v>
      </c>
      <c r="I20">
        <v>441</v>
      </c>
      <c r="J20" s="21">
        <v>677</v>
      </c>
      <c r="K20" s="14">
        <f t="shared" si="1"/>
        <v>213932</v>
      </c>
      <c r="L20" s="52" t="s">
        <v>58</v>
      </c>
      <c r="M20" s="54"/>
    </row>
    <row r="21" spans="1:13" ht="15.6" x14ac:dyDescent="0.35">
      <c r="A21" t="s">
        <v>164</v>
      </c>
      <c r="B21">
        <v>2025</v>
      </c>
      <c r="C21">
        <v>171</v>
      </c>
      <c r="D21">
        <v>48</v>
      </c>
      <c r="E21">
        <v>150</v>
      </c>
      <c r="F21">
        <v>47</v>
      </c>
      <c r="G21" s="25">
        <f t="shared" si="0"/>
        <v>226</v>
      </c>
      <c r="H21">
        <v>572</v>
      </c>
      <c r="I21">
        <v>388</v>
      </c>
      <c r="J21" s="21">
        <v>677</v>
      </c>
      <c r="K21" s="14">
        <f t="shared" si="1"/>
        <v>153002</v>
      </c>
      <c r="L21" s="52" t="s">
        <v>58</v>
      </c>
      <c r="M21" s="54"/>
    </row>
    <row r="22" spans="1:13" ht="15.6" x14ac:dyDescent="0.35">
      <c r="A22" t="s">
        <v>164</v>
      </c>
      <c r="B22">
        <v>2025</v>
      </c>
      <c r="C22">
        <v>109</v>
      </c>
      <c r="D22">
        <v>107</v>
      </c>
      <c r="E22">
        <v>238</v>
      </c>
      <c r="F22">
        <v>6</v>
      </c>
      <c r="G22" s="25">
        <f t="shared" si="0"/>
        <v>234</v>
      </c>
      <c r="H22">
        <v>402</v>
      </c>
      <c r="I22">
        <v>248</v>
      </c>
      <c r="J22" s="21">
        <v>677</v>
      </c>
      <c r="K22" s="14">
        <f t="shared" si="1"/>
        <v>158418</v>
      </c>
      <c r="L22" s="51" t="s">
        <v>58</v>
      </c>
      <c r="M22" s="54"/>
    </row>
    <row r="23" spans="1:13" ht="15.6" x14ac:dyDescent="0.35">
      <c r="A23" t="s">
        <v>164</v>
      </c>
      <c r="B23">
        <v>2025</v>
      </c>
      <c r="C23">
        <v>138</v>
      </c>
      <c r="D23">
        <v>54</v>
      </c>
      <c r="E23">
        <v>241</v>
      </c>
      <c r="F23">
        <v>47</v>
      </c>
      <c r="G23" s="25">
        <f t="shared" si="0"/>
        <v>278</v>
      </c>
      <c r="H23">
        <v>423</v>
      </c>
      <c r="I23">
        <v>260</v>
      </c>
      <c r="J23" s="21">
        <v>677</v>
      </c>
      <c r="K23" s="14">
        <f t="shared" si="1"/>
        <v>188206</v>
      </c>
      <c r="L23" s="52" t="s">
        <v>58</v>
      </c>
      <c r="M23" s="54"/>
    </row>
    <row r="24" spans="1:13" ht="15.6" x14ac:dyDescent="0.35">
      <c r="A24" t="s">
        <v>164</v>
      </c>
      <c r="B24">
        <v>2025</v>
      </c>
      <c r="C24">
        <v>79</v>
      </c>
      <c r="D24">
        <v>22</v>
      </c>
      <c r="E24">
        <v>136</v>
      </c>
      <c r="F24">
        <v>29</v>
      </c>
      <c r="G24" s="25">
        <f t="shared" si="0"/>
        <v>164</v>
      </c>
      <c r="H24">
        <v>321</v>
      </c>
      <c r="I24">
        <v>390</v>
      </c>
      <c r="J24" s="21">
        <v>677</v>
      </c>
      <c r="K24" s="14">
        <f t="shared" si="1"/>
        <v>111028</v>
      </c>
      <c r="L24" s="52" t="s">
        <v>58</v>
      </c>
      <c r="M24" s="54"/>
    </row>
    <row r="25" spans="1:13" x14ac:dyDescent="0.3">
      <c r="G25" s="26"/>
    </row>
    <row r="26" spans="1:13" ht="15.6" x14ac:dyDescent="0.35">
      <c r="A26" t="s">
        <v>165</v>
      </c>
      <c r="B26">
        <v>2025</v>
      </c>
      <c r="C26">
        <v>98</v>
      </c>
      <c r="D26">
        <v>60</v>
      </c>
      <c r="E26">
        <v>191</v>
      </c>
      <c r="F26">
        <v>15</v>
      </c>
      <c r="G26" s="25">
        <f t="shared" si="0"/>
        <v>214</v>
      </c>
      <c r="H26">
        <v>504</v>
      </c>
      <c r="I26">
        <v>421</v>
      </c>
      <c r="J26" s="21">
        <v>116</v>
      </c>
      <c r="K26" s="14">
        <f>(G26*J26)</f>
        <v>24824</v>
      </c>
      <c r="L26" s="51" t="s">
        <v>58</v>
      </c>
      <c r="M26" s="54"/>
    </row>
    <row r="27" spans="1:13" ht="15.6" x14ac:dyDescent="0.35">
      <c r="A27" t="s">
        <v>165</v>
      </c>
      <c r="B27">
        <v>2025</v>
      </c>
      <c r="C27">
        <v>79</v>
      </c>
      <c r="D27">
        <v>44</v>
      </c>
      <c r="E27">
        <v>137</v>
      </c>
      <c r="F27">
        <v>26</v>
      </c>
      <c r="G27" s="25">
        <f t="shared" si="0"/>
        <v>146</v>
      </c>
      <c r="H27">
        <v>557</v>
      </c>
      <c r="I27">
        <v>406</v>
      </c>
      <c r="J27" s="21">
        <v>116</v>
      </c>
      <c r="K27" s="14">
        <f t="shared" ref="K27:K45" si="2">(G27*J27)</f>
        <v>16936</v>
      </c>
      <c r="L27" s="51" t="s">
        <v>58</v>
      </c>
      <c r="M27" s="54"/>
    </row>
    <row r="28" spans="1:13" ht="15.6" x14ac:dyDescent="0.35">
      <c r="A28" t="s">
        <v>165</v>
      </c>
      <c r="B28">
        <v>2025</v>
      </c>
      <c r="C28">
        <v>74</v>
      </c>
      <c r="D28">
        <v>67</v>
      </c>
      <c r="E28">
        <v>252</v>
      </c>
      <c r="F28">
        <v>32</v>
      </c>
      <c r="G28" s="25">
        <f t="shared" si="0"/>
        <v>227</v>
      </c>
      <c r="H28">
        <v>362</v>
      </c>
      <c r="I28">
        <v>461</v>
      </c>
      <c r="J28" s="21">
        <v>116</v>
      </c>
      <c r="K28" s="14">
        <f t="shared" si="2"/>
        <v>26332</v>
      </c>
      <c r="L28" s="51" t="s">
        <v>58</v>
      </c>
      <c r="M28" s="54"/>
    </row>
    <row r="29" spans="1:13" ht="15.6" x14ac:dyDescent="0.35">
      <c r="A29" t="s">
        <v>165</v>
      </c>
      <c r="B29">
        <v>2025</v>
      </c>
      <c r="C29">
        <v>190</v>
      </c>
      <c r="D29">
        <v>49</v>
      </c>
      <c r="E29">
        <v>218</v>
      </c>
      <c r="F29">
        <v>31</v>
      </c>
      <c r="G29" s="25">
        <f t="shared" si="0"/>
        <v>328</v>
      </c>
      <c r="H29">
        <v>543</v>
      </c>
      <c r="I29">
        <v>348</v>
      </c>
      <c r="J29" s="21">
        <v>116</v>
      </c>
      <c r="K29" s="14">
        <f t="shared" si="2"/>
        <v>38048</v>
      </c>
      <c r="L29" s="51" t="s">
        <v>58</v>
      </c>
      <c r="M29" s="54"/>
    </row>
    <row r="30" spans="1:13" ht="15.6" x14ac:dyDescent="0.35">
      <c r="A30" t="s">
        <v>165</v>
      </c>
      <c r="B30">
        <v>2025</v>
      </c>
      <c r="C30">
        <v>78</v>
      </c>
      <c r="D30">
        <v>36</v>
      </c>
      <c r="E30">
        <v>285</v>
      </c>
      <c r="F30">
        <v>9</v>
      </c>
      <c r="G30" s="25">
        <f t="shared" si="0"/>
        <v>318</v>
      </c>
      <c r="H30">
        <v>422</v>
      </c>
      <c r="I30">
        <v>394</v>
      </c>
      <c r="J30" s="21">
        <v>116</v>
      </c>
      <c r="K30" s="14">
        <f t="shared" si="2"/>
        <v>36888</v>
      </c>
      <c r="L30" s="51" t="s">
        <v>58</v>
      </c>
      <c r="M30" s="54"/>
    </row>
    <row r="31" spans="1:13" ht="15.6" x14ac:dyDescent="0.35">
      <c r="A31" t="s">
        <v>165</v>
      </c>
      <c r="B31">
        <v>2025</v>
      </c>
      <c r="C31">
        <v>184</v>
      </c>
      <c r="D31">
        <v>41</v>
      </c>
      <c r="E31">
        <v>166</v>
      </c>
      <c r="F31">
        <v>26</v>
      </c>
      <c r="G31" s="25">
        <f t="shared" si="0"/>
        <v>283</v>
      </c>
      <c r="H31">
        <v>600</v>
      </c>
      <c r="I31">
        <v>213</v>
      </c>
      <c r="J31" s="21">
        <v>116</v>
      </c>
      <c r="K31" s="14">
        <f t="shared" si="2"/>
        <v>32828</v>
      </c>
      <c r="L31" s="51" t="s">
        <v>58</v>
      </c>
      <c r="M31" s="54"/>
    </row>
    <row r="32" spans="1:13" ht="15.6" x14ac:dyDescent="0.35">
      <c r="A32" t="s">
        <v>165</v>
      </c>
      <c r="B32">
        <v>2025</v>
      </c>
      <c r="C32">
        <v>54</v>
      </c>
      <c r="D32">
        <v>39</v>
      </c>
      <c r="E32">
        <v>217</v>
      </c>
      <c r="F32">
        <v>26</v>
      </c>
      <c r="G32" s="25">
        <f t="shared" si="0"/>
        <v>206</v>
      </c>
      <c r="H32">
        <v>592</v>
      </c>
      <c r="I32">
        <v>652</v>
      </c>
      <c r="J32" s="21">
        <v>116</v>
      </c>
      <c r="K32" s="14">
        <f t="shared" si="2"/>
        <v>23896</v>
      </c>
      <c r="L32" s="51" t="s">
        <v>58</v>
      </c>
      <c r="M32" s="54"/>
    </row>
    <row r="33" spans="1:13" ht="15.6" x14ac:dyDescent="0.35">
      <c r="A33" t="s">
        <v>165</v>
      </c>
      <c r="B33">
        <v>2025</v>
      </c>
      <c r="C33">
        <v>128</v>
      </c>
      <c r="D33">
        <v>72</v>
      </c>
      <c r="E33">
        <v>113</v>
      </c>
      <c r="F33">
        <v>6</v>
      </c>
      <c r="G33" s="25">
        <f t="shared" si="0"/>
        <v>163</v>
      </c>
      <c r="H33">
        <v>539</v>
      </c>
      <c r="I33">
        <v>648</v>
      </c>
      <c r="J33" s="21">
        <v>116</v>
      </c>
      <c r="K33" s="14">
        <f t="shared" si="2"/>
        <v>18908</v>
      </c>
      <c r="L33" s="51" t="s">
        <v>58</v>
      </c>
      <c r="M33" s="54"/>
    </row>
    <row r="34" spans="1:13" ht="15.6" x14ac:dyDescent="0.35">
      <c r="A34" t="s">
        <v>165</v>
      </c>
      <c r="B34">
        <v>2025</v>
      </c>
      <c r="C34">
        <v>176</v>
      </c>
      <c r="D34">
        <v>24</v>
      </c>
      <c r="E34">
        <v>272</v>
      </c>
      <c r="F34">
        <v>12</v>
      </c>
      <c r="G34" s="25">
        <f t="shared" si="0"/>
        <v>412</v>
      </c>
      <c r="H34">
        <v>555</v>
      </c>
      <c r="I34">
        <v>595</v>
      </c>
      <c r="J34" s="21">
        <v>116</v>
      </c>
      <c r="K34" s="14">
        <f t="shared" si="2"/>
        <v>47792</v>
      </c>
      <c r="L34" s="51" t="s">
        <v>58</v>
      </c>
      <c r="M34" s="54"/>
    </row>
    <row r="35" spans="1:13" ht="15.6" x14ac:dyDescent="0.35">
      <c r="A35" t="s">
        <v>165</v>
      </c>
      <c r="B35">
        <v>2025</v>
      </c>
      <c r="C35">
        <v>100</v>
      </c>
      <c r="D35">
        <v>82</v>
      </c>
      <c r="E35">
        <v>275</v>
      </c>
      <c r="F35">
        <v>19</v>
      </c>
      <c r="G35" s="25">
        <f t="shared" si="0"/>
        <v>274</v>
      </c>
      <c r="H35">
        <v>435</v>
      </c>
      <c r="I35">
        <v>685</v>
      </c>
      <c r="J35" s="21">
        <v>116</v>
      </c>
      <c r="K35" s="14">
        <f t="shared" si="2"/>
        <v>31784</v>
      </c>
      <c r="L35" s="51" t="s">
        <v>58</v>
      </c>
      <c r="M35" s="54"/>
    </row>
    <row r="36" spans="1:13" ht="15.6" x14ac:dyDescent="0.35">
      <c r="A36" t="s">
        <v>165</v>
      </c>
      <c r="B36">
        <v>2025</v>
      </c>
      <c r="C36">
        <v>199</v>
      </c>
      <c r="D36">
        <v>160</v>
      </c>
      <c r="E36">
        <v>120</v>
      </c>
      <c r="F36">
        <v>44</v>
      </c>
      <c r="G36" s="25">
        <f t="shared" si="0"/>
        <v>115</v>
      </c>
      <c r="H36">
        <v>312</v>
      </c>
      <c r="I36">
        <v>207</v>
      </c>
      <c r="J36" s="21">
        <v>116</v>
      </c>
      <c r="K36" s="14">
        <f t="shared" si="2"/>
        <v>13340</v>
      </c>
      <c r="L36" s="51" t="s">
        <v>58</v>
      </c>
      <c r="M36" s="54"/>
    </row>
    <row r="37" spans="1:13" ht="15.6" x14ac:dyDescent="0.35">
      <c r="A37" t="s">
        <v>165</v>
      </c>
      <c r="B37">
        <v>2025</v>
      </c>
      <c r="C37">
        <v>200</v>
      </c>
      <c r="D37">
        <v>42</v>
      </c>
      <c r="E37">
        <v>153</v>
      </c>
      <c r="F37">
        <v>29</v>
      </c>
      <c r="G37" s="25">
        <f t="shared" si="0"/>
        <v>282</v>
      </c>
      <c r="H37">
        <v>502</v>
      </c>
      <c r="I37">
        <v>305</v>
      </c>
      <c r="J37" s="21">
        <v>116</v>
      </c>
      <c r="K37" s="14">
        <f t="shared" si="2"/>
        <v>32712</v>
      </c>
      <c r="L37" s="51" t="s">
        <v>58</v>
      </c>
      <c r="M37" s="54"/>
    </row>
    <row r="38" spans="1:13" ht="15.6" x14ac:dyDescent="0.35">
      <c r="A38" t="s">
        <v>165</v>
      </c>
      <c r="B38">
        <v>2025</v>
      </c>
      <c r="C38">
        <v>165</v>
      </c>
      <c r="D38">
        <v>112</v>
      </c>
      <c r="E38">
        <v>248</v>
      </c>
      <c r="F38">
        <v>42</v>
      </c>
      <c r="G38" s="25">
        <f t="shared" si="0"/>
        <v>259</v>
      </c>
      <c r="H38">
        <v>462</v>
      </c>
      <c r="I38">
        <v>558</v>
      </c>
      <c r="J38" s="21">
        <v>116</v>
      </c>
      <c r="K38" s="14">
        <f t="shared" si="2"/>
        <v>30044</v>
      </c>
      <c r="L38" s="51" t="s">
        <v>58</v>
      </c>
      <c r="M38" s="54"/>
    </row>
    <row r="39" spans="1:13" ht="15.6" x14ac:dyDescent="0.35">
      <c r="A39" t="s">
        <v>165</v>
      </c>
      <c r="B39">
        <v>2025</v>
      </c>
      <c r="C39">
        <v>181</v>
      </c>
      <c r="D39">
        <v>115</v>
      </c>
      <c r="E39">
        <v>219</v>
      </c>
      <c r="F39">
        <v>44</v>
      </c>
      <c r="G39" s="25">
        <f t="shared" si="0"/>
        <v>241</v>
      </c>
      <c r="H39">
        <v>302</v>
      </c>
      <c r="I39">
        <v>619</v>
      </c>
      <c r="J39" s="21">
        <v>116</v>
      </c>
      <c r="K39" s="14">
        <f t="shared" si="2"/>
        <v>27956</v>
      </c>
      <c r="L39" s="52" t="s">
        <v>58</v>
      </c>
      <c r="M39" s="54"/>
    </row>
    <row r="40" spans="1:13" ht="15.6" x14ac:dyDescent="0.35">
      <c r="A40" t="s">
        <v>165</v>
      </c>
      <c r="B40">
        <v>2025</v>
      </c>
      <c r="C40">
        <v>193</v>
      </c>
      <c r="D40">
        <v>150</v>
      </c>
      <c r="E40">
        <v>154</v>
      </c>
      <c r="F40">
        <v>24</v>
      </c>
      <c r="G40" s="25">
        <f t="shared" si="0"/>
        <v>173</v>
      </c>
      <c r="H40">
        <v>459</v>
      </c>
      <c r="I40">
        <v>390</v>
      </c>
      <c r="J40" s="21">
        <v>116</v>
      </c>
      <c r="K40" s="14">
        <f t="shared" si="2"/>
        <v>20068</v>
      </c>
      <c r="L40" s="51" t="s">
        <v>58</v>
      </c>
      <c r="M40" s="54"/>
    </row>
    <row r="41" spans="1:13" ht="15.6" x14ac:dyDescent="0.35">
      <c r="A41" t="s">
        <v>165</v>
      </c>
      <c r="B41">
        <v>2025</v>
      </c>
      <c r="C41">
        <v>60</v>
      </c>
      <c r="D41">
        <v>31</v>
      </c>
      <c r="E41">
        <v>278</v>
      </c>
      <c r="F41">
        <v>43</v>
      </c>
      <c r="G41" s="25">
        <f t="shared" si="0"/>
        <v>264</v>
      </c>
      <c r="H41">
        <v>320</v>
      </c>
      <c r="I41">
        <v>326</v>
      </c>
      <c r="J41" s="21">
        <v>116</v>
      </c>
      <c r="K41" s="14">
        <f t="shared" si="2"/>
        <v>30624</v>
      </c>
      <c r="L41" s="52" t="s">
        <v>58</v>
      </c>
      <c r="M41" s="54"/>
    </row>
    <row r="42" spans="1:13" ht="15.6" x14ac:dyDescent="0.35">
      <c r="A42" t="s">
        <v>165</v>
      </c>
      <c r="B42">
        <v>2025</v>
      </c>
      <c r="C42">
        <v>174</v>
      </c>
      <c r="D42">
        <v>164</v>
      </c>
      <c r="E42">
        <v>295</v>
      </c>
      <c r="F42">
        <v>43</v>
      </c>
      <c r="G42" s="25">
        <f t="shared" si="0"/>
        <v>262</v>
      </c>
      <c r="H42">
        <v>397</v>
      </c>
      <c r="I42">
        <v>208</v>
      </c>
      <c r="J42" s="21">
        <v>116</v>
      </c>
      <c r="K42" s="14">
        <f t="shared" si="2"/>
        <v>30392</v>
      </c>
      <c r="L42" s="52" t="s">
        <v>58</v>
      </c>
      <c r="M42" s="54"/>
    </row>
    <row r="43" spans="1:13" ht="15.6" x14ac:dyDescent="0.35">
      <c r="A43" t="s">
        <v>165</v>
      </c>
      <c r="B43">
        <v>2025</v>
      </c>
      <c r="C43">
        <v>65</v>
      </c>
      <c r="D43">
        <v>24</v>
      </c>
      <c r="E43">
        <v>237</v>
      </c>
      <c r="F43">
        <v>3</v>
      </c>
      <c r="G43" s="25">
        <f t="shared" si="0"/>
        <v>275</v>
      </c>
      <c r="H43">
        <v>479</v>
      </c>
      <c r="I43">
        <v>535</v>
      </c>
      <c r="J43" s="21">
        <v>116</v>
      </c>
      <c r="K43" s="14">
        <f t="shared" si="2"/>
        <v>31900</v>
      </c>
      <c r="L43" s="51" t="s">
        <v>58</v>
      </c>
      <c r="M43" s="54"/>
    </row>
    <row r="44" spans="1:13" ht="15.6" x14ac:dyDescent="0.35">
      <c r="A44" t="s">
        <v>165</v>
      </c>
      <c r="B44">
        <v>2025</v>
      </c>
      <c r="C44">
        <v>200</v>
      </c>
      <c r="D44">
        <v>131</v>
      </c>
      <c r="E44">
        <v>171</v>
      </c>
      <c r="F44">
        <v>1</v>
      </c>
      <c r="G44" s="25">
        <f t="shared" si="0"/>
        <v>239</v>
      </c>
      <c r="H44">
        <v>483</v>
      </c>
      <c r="I44">
        <v>314</v>
      </c>
      <c r="J44" s="21">
        <v>116</v>
      </c>
      <c r="K44" s="14">
        <f t="shared" si="2"/>
        <v>27724</v>
      </c>
      <c r="L44" s="52" t="s">
        <v>58</v>
      </c>
      <c r="M44" s="54"/>
    </row>
    <row r="45" spans="1:13" ht="15.6" x14ac:dyDescent="0.35">
      <c r="A45" t="s">
        <v>165</v>
      </c>
      <c r="B45">
        <v>2025</v>
      </c>
      <c r="C45">
        <v>184</v>
      </c>
      <c r="D45">
        <v>182</v>
      </c>
      <c r="E45">
        <v>266</v>
      </c>
      <c r="F45">
        <v>18</v>
      </c>
      <c r="G45" s="25">
        <f t="shared" si="0"/>
        <v>250</v>
      </c>
      <c r="H45">
        <v>517</v>
      </c>
      <c r="I45">
        <v>421</v>
      </c>
      <c r="J45" s="21">
        <v>116</v>
      </c>
      <c r="K45" s="14">
        <f t="shared" si="2"/>
        <v>29000</v>
      </c>
      <c r="L45" s="52" t="s">
        <v>58</v>
      </c>
      <c r="M45" s="54"/>
    </row>
    <row r="46" spans="1:13" x14ac:dyDescent="0.3">
      <c r="G46" s="26"/>
    </row>
    <row r="47" spans="1:13" ht="15.6" x14ac:dyDescent="0.35">
      <c r="A47" t="s">
        <v>166</v>
      </c>
      <c r="B47">
        <v>2025</v>
      </c>
      <c r="C47">
        <v>131</v>
      </c>
      <c r="D47">
        <v>70</v>
      </c>
      <c r="E47">
        <v>176</v>
      </c>
      <c r="F47">
        <v>7</v>
      </c>
      <c r="G47" s="25">
        <f t="shared" si="0"/>
        <v>230</v>
      </c>
      <c r="H47">
        <v>423</v>
      </c>
      <c r="I47">
        <v>593</v>
      </c>
      <c r="J47" s="21">
        <v>1300</v>
      </c>
      <c r="K47" s="14">
        <f>(G47*J47)</f>
        <v>299000</v>
      </c>
      <c r="L47" s="51" t="s">
        <v>58</v>
      </c>
      <c r="M47" s="54"/>
    </row>
    <row r="48" spans="1:13" ht="15.6" x14ac:dyDescent="0.35">
      <c r="A48" t="s">
        <v>166</v>
      </c>
      <c r="B48">
        <v>2025</v>
      </c>
      <c r="C48">
        <v>157</v>
      </c>
      <c r="D48">
        <v>126</v>
      </c>
      <c r="E48">
        <v>223</v>
      </c>
      <c r="F48">
        <v>8</v>
      </c>
      <c r="G48" s="25">
        <f t="shared" si="0"/>
        <v>246</v>
      </c>
      <c r="H48">
        <v>387</v>
      </c>
      <c r="I48">
        <v>471</v>
      </c>
      <c r="J48" s="21">
        <v>1300</v>
      </c>
      <c r="K48" s="14">
        <f t="shared" ref="K48:K66" si="3">(G48*J48)</f>
        <v>319800</v>
      </c>
      <c r="L48" s="51" t="s">
        <v>58</v>
      </c>
      <c r="M48" s="54"/>
    </row>
    <row r="49" spans="1:13" ht="15.6" x14ac:dyDescent="0.35">
      <c r="A49" t="s">
        <v>166</v>
      </c>
      <c r="B49">
        <v>2025</v>
      </c>
      <c r="C49">
        <v>97</v>
      </c>
      <c r="D49">
        <v>74</v>
      </c>
      <c r="E49">
        <v>112</v>
      </c>
      <c r="F49">
        <v>25</v>
      </c>
      <c r="G49" s="25">
        <f t="shared" si="0"/>
        <v>110</v>
      </c>
      <c r="H49">
        <v>372</v>
      </c>
      <c r="I49">
        <v>617</v>
      </c>
      <c r="J49" s="21">
        <v>1300</v>
      </c>
      <c r="K49" s="14">
        <f t="shared" si="3"/>
        <v>143000</v>
      </c>
      <c r="L49" s="51" t="s">
        <v>58</v>
      </c>
      <c r="M49" s="54"/>
    </row>
    <row r="50" spans="1:13" ht="15.6" x14ac:dyDescent="0.35">
      <c r="A50" t="s">
        <v>166</v>
      </c>
      <c r="B50">
        <v>2025</v>
      </c>
      <c r="C50">
        <v>90</v>
      </c>
      <c r="D50">
        <v>82</v>
      </c>
      <c r="E50">
        <v>156</v>
      </c>
      <c r="F50">
        <v>25</v>
      </c>
      <c r="G50" s="25">
        <f t="shared" si="0"/>
        <v>139</v>
      </c>
      <c r="H50">
        <v>544</v>
      </c>
      <c r="I50">
        <v>588</v>
      </c>
      <c r="J50" s="21">
        <v>1300</v>
      </c>
      <c r="K50" s="14">
        <f t="shared" si="3"/>
        <v>180700</v>
      </c>
      <c r="L50" s="51" t="s">
        <v>58</v>
      </c>
      <c r="M50" s="54"/>
    </row>
    <row r="51" spans="1:13" ht="15.6" x14ac:dyDescent="0.35">
      <c r="A51" t="s">
        <v>166</v>
      </c>
      <c r="B51">
        <v>2025</v>
      </c>
      <c r="C51">
        <v>74</v>
      </c>
      <c r="D51">
        <v>50</v>
      </c>
      <c r="E51">
        <v>176</v>
      </c>
      <c r="F51">
        <v>38</v>
      </c>
      <c r="G51" s="25">
        <f t="shared" si="0"/>
        <v>162</v>
      </c>
      <c r="H51">
        <v>380</v>
      </c>
      <c r="I51">
        <v>570</v>
      </c>
      <c r="J51" s="21">
        <v>1300</v>
      </c>
      <c r="K51" s="14">
        <f t="shared" si="3"/>
        <v>210600</v>
      </c>
      <c r="L51" s="51" t="s">
        <v>58</v>
      </c>
      <c r="M51" s="54"/>
    </row>
    <row r="52" spans="1:13" ht="15.6" x14ac:dyDescent="0.35">
      <c r="A52" t="s">
        <v>166</v>
      </c>
      <c r="B52">
        <v>2025</v>
      </c>
      <c r="C52">
        <v>93</v>
      </c>
      <c r="D52">
        <v>56</v>
      </c>
      <c r="E52">
        <v>107</v>
      </c>
      <c r="F52">
        <v>50</v>
      </c>
      <c r="G52" s="25">
        <f t="shared" si="0"/>
        <v>94</v>
      </c>
      <c r="H52">
        <v>586</v>
      </c>
      <c r="I52">
        <v>409</v>
      </c>
      <c r="J52" s="21">
        <v>1300</v>
      </c>
      <c r="K52" s="14">
        <f t="shared" si="3"/>
        <v>122200</v>
      </c>
      <c r="L52" s="51" t="s">
        <v>58</v>
      </c>
      <c r="M52" s="54"/>
    </row>
    <row r="53" spans="1:13" ht="15.6" x14ac:dyDescent="0.35">
      <c r="A53" t="s">
        <v>166</v>
      </c>
      <c r="B53">
        <v>2025</v>
      </c>
      <c r="C53">
        <v>180</v>
      </c>
      <c r="D53">
        <v>118</v>
      </c>
      <c r="E53">
        <v>176</v>
      </c>
      <c r="F53">
        <v>42</v>
      </c>
      <c r="G53" s="25">
        <f t="shared" si="0"/>
        <v>196</v>
      </c>
      <c r="H53">
        <v>527</v>
      </c>
      <c r="I53">
        <v>302</v>
      </c>
      <c r="J53" s="21">
        <v>1300</v>
      </c>
      <c r="K53" s="14">
        <f t="shared" si="3"/>
        <v>254800</v>
      </c>
      <c r="L53" s="51" t="s">
        <v>58</v>
      </c>
      <c r="M53" s="54"/>
    </row>
    <row r="54" spans="1:13" ht="15.6" x14ac:dyDescent="0.35">
      <c r="A54" t="s">
        <v>166</v>
      </c>
      <c r="B54">
        <v>2025</v>
      </c>
      <c r="C54">
        <v>104</v>
      </c>
      <c r="D54">
        <v>35</v>
      </c>
      <c r="E54">
        <v>137</v>
      </c>
      <c r="F54">
        <v>4</v>
      </c>
      <c r="G54" s="25">
        <f t="shared" si="0"/>
        <v>202</v>
      </c>
      <c r="H54">
        <v>321</v>
      </c>
      <c r="I54">
        <v>509</v>
      </c>
      <c r="J54" s="21">
        <v>1300</v>
      </c>
      <c r="K54" s="14">
        <f t="shared" si="3"/>
        <v>262600</v>
      </c>
      <c r="L54" s="51" t="s">
        <v>58</v>
      </c>
      <c r="M54" s="54"/>
    </row>
    <row r="55" spans="1:13" ht="15.6" x14ac:dyDescent="0.35">
      <c r="A55" t="s">
        <v>166</v>
      </c>
      <c r="B55">
        <v>2025</v>
      </c>
      <c r="C55">
        <v>160</v>
      </c>
      <c r="D55">
        <v>45</v>
      </c>
      <c r="E55">
        <v>128</v>
      </c>
      <c r="F55">
        <v>48</v>
      </c>
      <c r="G55" s="25">
        <f t="shared" si="0"/>
        <v>195</v>
      </c>
      <c r="H55">
        <v>579</v>
      </c>
      <c r="I55">
        <v>201</v>
      </c>
      <c r="J55" s="21">
        <v>1300</v>
      </c>
      <c r="K55" s="14">
        <f t="shared" si="3"/>
        <v>253500</v>
      </c>
      <c r="L55" s="51" t="s">
        <v>58</v>
      </c>
      <c r="M55" s="54"/>
    </row>
    <row r="56" spans="1:13" ht="15.6" x14ac:dyDescent="0.35">
      <c r="A56" t="s">
        <v>166</v>
      </c>
      <c r="B56">
        <v>2025</v>
      </c>
      <c r="C56">
        <v>83</v>
      </c>
      <c r="D56">
        <v>79</v>
      </c>
      <c r="E56">
        <v>171</v>
      </c>
      <c r="F56">
        <v>15</v>
      </c>
      <c r="G56" s="25">
        <f t="shared" si="0"/>
        <v>160</v>
      </c>
      <c r="H56">
        <v>487</v>
      </c>
      <c r="I56">
        <v>370</v>
      </c>
      <c r="J56" s="21">
        <v>1300</v>
      </c>
      <c r="K56" s="14">
        <f t="shared" si="3"/>
        <v>208000</v>
      </c>
      <c r="L56" s="51" t="s">
        <v>58</v>
      </c>
      <c r="M56" s="54"/>
    </row>
    <row r="57" spans="1:13" ht="15.6" x14ac:dyDescent="0.35">
      <c r="A57" t="s">
        <v>166</v>
      </c>
      <c r="B57">
        <v>2025</v>
      </c>
      <c r="C57">
        <v>199</v>
      </c>
      <c r="D57">
        <v>117</v>
      </c>
      <c r="E57">
        <v>255</v>
      </c>
      <c r="F57">
        <v>2</v>
      </c>
      <c r="G57" s="25">
        <f t="shared" si="0"/>
        <v>335</v>
      </c>
      <c r="H57">
        <v>496</v>
      </c>
      <c r="I57">
        <v>501</v>
      </c>
      <c r="J57" s="21">
        <v>1300</v>
      </c>
      <c r="K57" s="14">
        <f t="shared" si="3"/>
        <v>435500</v>
      </c>
      <c r="L57" s="51" t="s">
        <v>58</v>
      </c>
      <c r="M57" s="54"/>
    </row>
    <row r="58" spans="1:13" ht="15.6" x14ac:dyDescent="0.35">
      <c r="A58" t="s">
        <v>166</v>
      </c>
      <c r="B58">
        <v>2025</v>
      </c>
      <c r="C58">
        <v>147</v>
      </c>
      <c r="D58">
        <v>145</v>
      </c>
      <c r="E58">
        <v>160</v>
      </c>
      <c r="F58">
        <v>24</v>
      </c>
      <c r="G58" s="25">
        <f t="shared" si="0"/>
        <v>138</v>
      </c>
      <c r="H58">
        <v>512</v>
      </c>
      <c r="I58">
        <v>316</v>
      </c>
      <c r="J58" s="21">
        <v>1300</v>
      </c>
      <c r="K58" s="14">
        <f t="shared" si="3"/>
        <v>179400</v>
      </c>
      <c r="L58" s="51" t="s">
        <v>58</v>
      </c>
      <c r="M58" s="54"/>
    </row>
    <row r="59" spans="1:13" ht="15.6" x14ac:dyDescent="0.35">
      <c r="A59" t="s">
        <v>166</v>
      </c>
      <c r="B59">
        <v>2025</v>
      </c>
      <c r="C59">
        <v>51</v>
      </c>
      <c r="D59">
        <v>42</v>
      </c>
      <c r="E59">
        <v>161</v>
      </c>
      <c r="F59">
        <v>7</v>
      </c>
      <c r="G59" s="25">
        <f t="shared" si="0"/>
        <v>163</v>
      </c>
      <c r="H59">
        <v>592</v>
      </c>
      <c r="I59">
        <v>299</v>
      </c>
      <c r="J59" s="21">
        <v>1300</v>
      </c>
      <c r="K59" s="14">
        <f t="shared" si="3"/>
        <v>211900</v>
      </c>
      <c r="L59" s="51" t="s">
        <v>58</v>
      </c>
      <c r="M59" s="54"/>
    </row>
    <row r="60" spans="1:13" ht="15.6" x14ac:dyDescent="0.35">
      <c r="A60" t="s">
        <v>166</v>
      </c>
      <c r="B60">
        <v>2025</v>
      </c>
      <c r="C60">
        <v>164</v>
      </c>
      <c r="D60">
        <v>24</v>
      </c>
      <c r="E60">
        <v>102</v>
      </c>
      <c r="F60">
        <v>49</v>
      </c>
      <c r="G60" s="25">
        <f t="shared" si="0"/>
        <v>193</v>
      </c>
      <c r="H60">
        <v>576</v>
      </c>
      <c r="I60">
        <v>271</v>
      </c>
      <c r="J60" s="21">
        <v>1300</v>
      </c>
      <c r="K60" s="14">
        <f t="shared" si="3"/>
        <v>250900</v>
      </c>
      <c r="L60" s="52" t="s">
        <v>58</v>
      </c>
      <c r="M60" s="54"/>
    </row>
    <row r="61" spans="1:13" ht="15.6" x14ac:dyDescent="0.35">
      <c r="A61" t="s">
        <v>166</v>
      </c>
      <c r="B61">
        <v>2025</v>
      </c>
      <c r="C61">
        <v>68</v>
      </c>
      <c r="D61">
        <v>54</v>
      </c>
      <c r="E61">
        <v>170</v>
      </c>
      <c r="F61">
        <v>49</v>
      </c>
      <c r="G61" s="25">
        <f t="shared" si="0"/>
        <v>135</v>
      </c>
      <c r="H61">
        <v>372</v>
      </c>
      <c r="I61">
        <v>461</v>
      </c>
      <c r="J61" s="21">
        <v>1300</v>
      </c>
      <c r="K61" s="14">
        <f t="shared" si="3"/>
        <v>175500</v>
      </c>
      <c r="L61" s="51" t="s">
        <v>58</v>
      </c>
      <c r="M61" s="54"/>
    </row>
    <row r="62" spans="1:13" ht="15.6" x14ac:dyDescent="0.35">
      <c r="A62" t="s">
        <v>166</v>
      </c>
      <c r="B62">
        <v>2025</v>
      </c>
      <c r="C62">
        <v>131</v>
      </c>
      <c r="D62">
        <v>51</v>
      </c>
      <c r="E62">
        <v>241</v>
      </c>
      <c r="F62">
        <v>47</v>
      </c>
      <c r="G62" s="25">
        <f t="shared" si="0"/>
        <v>274</v>
      </c>
      <c r="H62">
        <v>450</v>
      </c>
      <c r="I62">
        <v>358</v>
      </c>
      <c r="J62" s="21">
        <v>1300</v>
      </c>
      <c r="K62" s="14">
        <f t="shared" si="3"/>
        <v>356200</v>
      </c>
      <c r="L62" s="52" t="s">
        <v>58</v>
      </c>
      <c r="M62" s="54"/>
    </row>
    <row r="63" spans="1:13" ht="15.6" x14ac:dyDescent="0.35">
      <c r="A63" t="s">
        <v>166</v>
      </c>
      <c r="B63">
        <v>2025</v>
      </c>
      <c r="C63">
        <v>103</v>
      </c>
      <c r="D63">
        <v>102</v>
      </c>
      <c r="E63">
        <v>224</v>
      </c>
      <c r="F63">
        <v>46</v>
      </c>
      <c r="G63" s="25">
        <f t="shared" si="0"/>
        <v>179</v>
      </c>
      <c r="H63">
        <v>526</v>
      </c>
      <c r="I63">
        <v>629</v>
      </c>
      <c r="J63" s="21">
        <v>1300</v>
      </c>
      <c r="K63" s="14">
        <f t="shared" si="3"/>
        <v>232700</v>
      </c>
      <c r="L63" s="52" t="s">
        <v>58</v>
      </c>
      <c r="M63" s="54"/>
    </row>
    <row r="64" spans="1:13" ht="15.6" x14ac:dyDescent="0.35">
      <c r="A64" t="s">
        <v>166</v>
      </c>
      <c r="B64">
        <v>2025</v>
      </c>
      <c r="C64">
        <v>130</v>
      </c>
      <c r="D64">
        <v>95</v>
      </c>
      <c r="E64">
        <v>250</v>
      </c>
      <c r="F64">
        <v>35</v>
      </c>
      <c r="G64" s="25">
        <f t="shared" si="0"/>
        <v>250</v>
      </c>
      <c r="H64">
        <v>527</v>
      </c>
      <c r="I64">
        <v>396</v>
      </c>
      <c r="J64" s="21">
        <v>1300</v>
      </c>
      <c r="K64" s="14">
        <f t="shared" si="3"/>
        <v>325000</v>
      </c>
      <c r="L64" s="51" t="s">
        <v>58</v>
      </c>
      <c r="M64" s="54"/>
    </row>
    <row r="65" spans="1:13" ht="15.6" x14ac:dyDescent="0.35">
      <c r="A65" t="s">
        <v>166</v>
      </c>
      <c r="B65">
        <v>2025</v>
      </c>
      <c r="C65">
        <v>153</v>
      </c>
      <c r="D65">
        <v>23</v>
      </c>
      <c r="E65">
        <v>265</v>
      </c>
      <c r="F65">
        <v>24</v>
      </c>
      <c r="G65" s="25">
        <f t="shared" si="0"/>
        <v>371</v>
      </c>
      <c r="H65">
        <v>435</v>
      </c>
      <c r="I65">
        <v>235</v>
      </c>
      <c r="J65" s="21">
        <v>1300</v>
      </c>
      <c r="K65" s="14">
        <f t="shared" si="3"/>
        <v>482300</v>
      </c>
      <c r="L65" s="52" t="s">
        <v>58</v>
      </c>
      <c r="M65" s="54"/>
    </row>
    <row r="66" spans="1:13" ht="15.6" x14ac:dyDescent="0.35">
      <c r="A66" t="s">
        <v>166</v>
      </c>
      <c r="B66">
        <v>2025</v>
      </c>
      <c r="C66">
        <v>70</v>
      </c>
      <c r="D66">
        <v>60</v>
      </c>
      <c r="E66">
        <v>292</v>
      </c>
      <c r="F66">
        <v>17</v>
      </c>
      <c r="G66" s="25">
        <f t="shared" si="0"/>
        <v>285</v>
      </c>
      <c r="H66">
        <v>342</v>
      </c>
      <c r="I66">
        <v>391</v>
      </c>
      <c r="J66" s="21">
        <v>1300</v>
      </c>
      <c r="K66" s="14">
        <f t="shared" si="3"/>
        <v>370500</v>
      </c>
      <c r="L66" s="52" t="s">
        <v>58</v>
      </c>
      <c r="M66" s="54"/>
    </row>
    <row r="67" spans="1:13" x14ac:dyDescent="0.3">
      <c r="G67" s="26"/>
    </row>
  </sheetData>
  <conditionalFormatting sqref="J5:J24">
    <cfRule type="expression" dxfId="2" priority="3" stopIfTrue="1">
      <formula>J5=""</formula>
    </cfRule>
  </conditionalFormatting>
  <conditionalFormatting sqref="J26:J45">
    <cfRule type="expression" dxfId="1" priority="2" stopIfTrue="1">
      <formula>J26=""</formula>
    </cfRule>
  </conditionalFormatting>
  <conditionalFormatting sqref="J47:J66">
    <cfRule type="expression" dxfId="0" priority="1" stopIfTrue="1">
      <formula>J47=""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0C5E-7BFA-458F-B4D6-07EA512463D1}">
  <dimension ref="B3:K11"/>
  <sheetViews>
    <sheetView zoomScale="79" workbookViewId="0">
      <selection activeCell="V27" sqref="V27"/>
    </sheetView>
  </sheetViews>
  <sheetFormatPr defaultRowHeight="14.4" x14ac:dyDescent="0.3"/>
  <cols>
    <col min="2" max="2" width="15.44140625" customWidth="1"/>
    <col min="3" max="3" width="16.21875" customWidth="1"/>
    <col min="9" max="9" width="8.88671875" customWidth="1"/>
    <col min="10" max="10" width="16.6640625" customWidth="1"/>
    <col min="11" max="11" width="16.109375" customWidth="1"/>
  </cols>
  <sheetData>
    <row r="3" spans="2:11" ht="16.2" x14ac:dyDescent="0.35">
      <c r="B3" s="48" t="s">
        <v>181</v>
      </c>
      <c r="C3" s="14" t="s">
        <v>58</v>
      </c>
      <c r="J3" s="48" t="s">
        <v>182</v>
      </c>
      <c r="K3" s="14" t="s">
        <v>58</v>
      </c>
    </row>
    <row r="5" spans="2:11" s="25" customFormat="1" ht="15.6" x14ac:dyDescent="0.3">
      <c r="B5" s="60" t="s">
        <v>176</v>
      </c>
      <c r="C5" s="61">
        <v>19028.41287</v>
      </c>
      <c r="J5" s="60" t="s">
        <v>176</v>
      </c>
      <c r="K5" s="60">
        <v>12679.12772</v>
      </c>
    </row>
    <row r="6" spans="2:11" s="56" customFormat="1" x14ac:dyDescent="0.3">
      <c r="B6" s="62" t="s">
        <v>177</v>
      </c>
      <c r="C6" s="62">
        <v>18443.5</v>
      </c>
      <c r="J6" s="62" t="s">
        <v>177</v>
      </c>
      <c r="K6" s="62">
        <v>15822.4</v>
      </c>
    </row>
    <row r="7" spans="2:11" s="57" customFormat="1" x14ac:dyDescent="0.3">
      <c r="B7" s="63" t="s">
        <v>178</v>
      </c>
      <c r="C7" s="63">
        <v>21606</v>
      </c>
      <c r="J7" s="63" t="s">
        <v>178</v>
      </c>
      <c r="K7" s="63">
        <v>15224</v>
      </c>
    </row>
    <row r="8" spans="2:11" s="58" customFormat="1" x14ac:dyDescent="0.3">
      <c r="B8" s="64" t="s">
        <v>179</v>
      </c>
      <c r="C8" s="64">
        <v>77678</v>
      </c>
      <c r="J8" s="64"/>
      <c r="K8" s="64"/>
    </row>
    <row r="9" spans="2:11" s="59" customFormat="1" x14ac:dyDescent="0.3">
      <c r="B9" s="65" t="s">
        <v>180</v>
      </c>
      <c r="C9" s="65">
        <v>9044921</v>
      </c>
      <c r="J9" s="65"/>
      <c r="K9" s="65"/>
    </row>
    <row r="11" spans="2:11" x14ac:dyDescent="0.3">
      <c r="B11" s="66" t="s">
        <v>183</v>
      </c>
      <c r="C11" s="66">
        <f>SUM(C5:C9)</f>
        <v>9181676.9128699992</v>
      </c>
      <c r="J11" s="66" t="s">
        <v>183</v>
      </c>
      <c r="K11" s="66">
        <f>SUM(K5:K9)</f>
        <v>43725.527719999998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B9A1-98AF-4483-81C8-9818CCC6D488}">
  <dimension ref="A1:X244"/>
  <sheetViews>
    <sheetView zoomScaleNormal="100" workbookViewId="0">
      <selection activeCell="P2" sqref="P2:P13"/>
    </sheetView>
  </sheetViews>
  <sheetFormatPr defaultRowHeight="14.4" x14ac:dyDescent="0.3"/>
  <cols>
    <col min="1" max="1" width="15.33203125" customWidth="1"/>
    <col min="2" max="2" width="15.44140625" customWidth="1"/>
    <col min="3" max="3" width="13.77734375" customWidth="1"/>
    <col min="4" max="4" width="13.44140625" customWidth="1"/>
    <col min="5" max="5" width="15.109375" customWidth="1"/>
    <col min="6" max="6" width="12.44140625" customWidth="1"/>
    <col min="7" max="7" width="11.88671875" customWidth="1"/>
    <col min="8" max="8" width="12.88671875" customWidth="1"/>
    <col min="9" max="9" width="11.109375" customWidth="1"/>
    <col min="10" max="10" width="13.6640625" customWidth="1"/>
    <col min="11" max="11" width="11.33203125" customWidth="1"/>
    <col min="12" max="12" width="14.109375" customWidth="1"/>
    <col min="13" max="13" width="16" customWidth="1"/>
  </cols>
  <sheetData>
    <row r="1" spans="1:24" x14ac:dyDescent="0.3">
      <c r="A1" s="67" t="s">
        <v>25</v>
      </c>
      <c r="B1" s="67" t="s">
        <v>26</v>
      </c>
    </row>
    <row r="2" spans="1:24" x14ac:dyDescent="0.3">
      <c r="A2" s="67" t="s">
        <v>27</v>
      </c>
      <c r="B2" s="67" t="s">
        <v>28</v>
      </c>
      <c r="I2" s="77" t="s">
        <v>215</v>
      </c>
      <c r="J2" s="79"/>
      <c r="K2" s="78"/>
      <c r="L2" s="1">
        <f>SUM(F12:F154)</f>
        <v>7237</v>
      </c>
      <c r="M2" s="1" t="s">
        <v>219</v>
      </c>
      <c r="P2" t="s">
        <v>2</v>
      </c>
    </row>
    <row r="3" spans="1:24" x14ac:dyDescent="0.3">
      <c r="A3" s="67" t="s">
        <v>29</v>
      </c>
      <c r="B3" s="2">
        <v>45870</v>
      </c>
      <c r="I3" s="77"/>
      <c r="J3" s="79"/>
      <c r="K3" s="78"/>
      <c r="L3" s="77"/>
      <c r="M3" s="78"/>
      <c r="P3" t="s">
        <v>46</v>
      </c>
    </row>
    <row r="4" spans="1:24" x14ac:dyDescent="0.3">
      <c r="A4" s="67" t="s">
        <v>30</v>
      </c>
      <c r="B4" s="1" t="s">
        <v>31</v>
      </c>
      <c r="I4" s="1"/>
      <c r="J4" s="77" t="s">
        <v>216</v>
      </c>
      <c r="K4" s="78"/>
      <c r="L4" s="1">
        <f>SUM(F161:F169)</f>
        <v>404</v>
      </c>
      <c r="M4" s="1" t="s">
        <v>219</v>
      </c>
      <c r="P4" t="s">
        <v>47</v>
      </c>
    </row>
    <row r="5" spans="1:24" x14ac:dyDescent="0.3">
      <c r="A5" s="67" t="s">
        <v>32</v>
      </c>
      <c r="B5" s="1" t="s">
        <v>33</v>
      </c>
      <c r="I5" s="1"/>
      <c r="J5" s="77" t="s">
        <v>217</v>
      </c>
      <c r="K5" s="78"/>
      <c r="L5" s="1">
        <f>SUM(D161:D196)</f>
        <v>2164</v>
      </c>
      <c r="M5" s="1" t="s">
        <v>219</v>
      </c>
      <c r="P5" t="s">
        <v>48</v>
      </c>
    </row>
    <row r="6" spans="1:24" x14ac:dyDescent="0.3">
      <c r="A6" s="67" t="s">
        <v>184</v>
      </c>
      <c r="B6" s="67" t="s">
        <v>185</v>
      </c>
      <c r="I6" s="1"/>
      <c r="J6" s="77" t="s">
        <v>218</v>
      </c>
      <c r="K6" s="78"/>
      <c r="L6" s="1">
        <f>SUM(I161:I244)</f>
        <v>4669</v>
      </c>
      <c r="M6" s="1" t="s">
        <v>219</v>
      </c>
      <c r="P6" t="s">
        <v>49</v>
      </c>
    </row>
    <row r="7" spans="1:24" x14ac:dyDescent="0.3">
      <c r="P7" t="s">
        <v>50</v>
      </c>
    </row>
    <row r="8" spans="1:24" x14ac:dyDescent="0.3">
      <c r="P8" t="s">
        <v>51</v>
      </c>
    </row>
    <row r="9" spans="1:24" x14ac:dyDescent="0.3">
      <c r="A9" s="1" t="s">
        <v>186</v>
      </c>
      <c r="B9" s="1" t="s">
        <v>37</v>
      </c>
      <c r="C9" s="1" t="s">
        <v>38</v>
      </c>
      <c r="D9" s="1" t="s">
        <v>39</v>
      </c>
      <c r="E9" s="1" t="s">
        <v>40</v>
      </c>
      <c r="F9" s="1"/>
      <c r="G9" s="1" t="s">
        <v>188</v>
      </c>
      <c r="H9" s="1" t="s">
        <v>43</v>
      </c>
      <c r="I9" s="1" t="s">
        <v>44</v>
      </c>
      <c r="J9" s="1" t="s">
        <v>45</v>
      </c>
      <c r="K9" s="1" t="s">
        <v>189</v>
      </c>
      <c r="L9" s="1" t="s">
        <v>190</v>
      </c>
      <c r="M9" s="1" t="s">
        <v>191</v>
      </c>
      <c r="P9" t="s">
        <v>52</v>
      </c>
    </row>
    <row r="10" spans="1:24" x14ac:dyDescent="0.3">
      <c r="P10" t="s">
        <v>53</v>
      </c>
      <c r="X10">
        <v>47</v>
      </c>
    </row>
    <row r="11" spans="1:24" x14ac:dyDescent="0.3">
      <c r="P11" t="s">
        <v>54</v>
      </c>
      <c r="X11">
        <v>25</v>
      </c>
    </row>
    <row r="12" spans="1:24" x14ac:dyDescent="0.3">
      <c r="A12" t="s">
        <v>0</v>
      </c>
      <c r="B12" s="25" t="s">
        <v>1</v>
      </c>
      <c r="C12">
        <v>2025</v>
      </c>
      <c r="D12" t="s">
        <v>48</v>
      </c>
      <c r="E12" t="s">
        <v>192</v>
      </c>
      <c r="F12">
        <v>23</v>
      </c>
      <c r="G12" t="s">
        <v>193</v>
      </c>
      <c r="H12" t="b">
        <v>1</v>
      </c>
      <c r="I12">
        <v>1</v>
      </c>
      <c r="J12" t="s">
        <v>194</v>
      </c>
      <c r="K12" s="39" t="b">
        <v>1</v>
      </c>
      <c r="L12" t="s">
        <v>195</v>
      </c>
      <c r="P12" t="s">
        <v>55</v>
      </c>
    </row>
    <row r="13" spans="1:24" x14ac:dyDescent="0.3">
      <c r="A13" t="s">
        <v>0</v>
      </c>
      <c r="B13" s="25" t="s">
        <v>1</v>
      </c>
      <c r="C13">
        <v>2025</v>
      </c>
      <c r="D13" t="s">
        <v>52</v>
      </c>
      <c r="E13" t="s">
        <v>192</v>
      </c>
      <c r="F13">
        <v>47</v>
      </c>
      <c r="G13" t="s">
        <v>193</v>
      </c>
      <c r="H13" t="b">
        <v>1</v>
      </c>
      <c r="I13">
        <v>1</v>
      </c>
      <c r="J13" t="s">
        <v>194</v>
      </c>
      <c r="K13" s="39" t="b">
        <v>1</v>
      </c>
      <c r="L13" t="s">
        <v>195</v>
      </c>
      <c r="P13" t="s">
        <v>56</v>
      </c>
      <c r="W13">
        <v>23</v>
      </c>
    </row>
    <row r="14" spans="1:24" x14ac:dyDescent="0.3">
      <c r="A14" t="s">
        <v>0</v>
      </c>
      <c r="B14" s="25" t="s">
        <v>1</v>
      </c>
      <c r="C14">
        <v>2025</v>
      </c>
      <c r="D14" t="s">
        <v>56</v>
      </c>
      <c r="E14" t="s">
        <v>192</v>
      </c>
      <c r="F14">
        <v>25</v>
      </c>
      <c r="G14" t="s">
        <v>193</v>
      </c>
      <c r="H14" t="b">
        <v>1</v>
      </c>
      <c r="I14">
        <v>1</v>
      </c>
      <c r="J14" t="s">
        <v>194</v>
      </c>
      <c r="K14" s="39" t="b">
        <v>1</v>
      </c>
      <c r="L14" t="s">
        <v>195</v>
      </c>
      <c r="W14">
        <v>47</v>
      </c>
    </row>
    <row r="15" spans="1:24" x14ac:dyDescent="0.3">
      <c r="B15" s="25"/>
      <c r="K15" s="39"/>
      <c r="W15">
        <v>25</v>
      </c>
      <c r="X15">
        <v>73</v>
      </c>
    </row>
    <row r="16" spans="1:24" x14ac:dyDescent="0.3">
      <c r="A16" t="s">
        <v>0</v>
      </c>
      <c r="B16" s="25" t="s">
        <v>1</v>
      </c>
      <c r="C16">
        <v>2025</v>
      </c>
      <c r="D16" t="s">
        <v>2</v>
      </c>
      <c r="E16" t="s">
        <v>196</v>
      </c>
      <c r="F16">
        <v>60</v>
      </c>
      <c r="G16" t="s">
        <v>193</v>
      </c>
      <c r="H16" t="b">
        <v>1</v>
      </c>
      <c r="I16">
        <v>1</v>
      </c>
      <c r="J16" t="s">
        <v>194</v>
      </c>
      <c r="K16" s="39" t="b">
        <v>1</v>
      </c>
      <c r="L16" t="s">
        <v>197</v>
      </c>
      <c r="W16">
        <v>15</v>
      </c>
      <c r="X16">
        <v>19</v>
      </c>
    </row>
    <row r="17" spans="1:24" x14ac:dyDescent="0.3">
      <c r="A17" t="s">
        <v>0</v>
      </c>
      <c r="B17" s="25" t="s">
        <v>1</v>
      </c>
      <c r="C17">
        <v>2025</v>
      </c>
      <c r="D17" t="s">
        <v>46</v>
      </c>
      <c r="E17" t="s">
        <v>196</v>
      </c>
      <c r="F17">
        <v>52</v>
      </c>
      <c r="G17" t="s">
        <v>193</v>
      </c>
      <c r="H17" t="b">
        <v>1</v>
      </c>
      <c r="I17">
        <v>1</v>
      </c>
      <c r="J17" t="s">
        <v>194</v>
      </c>
      <c r="K17" s="39" t="b">
        <v>1</v>
      </c>
      <c r="L17" t="s">
        <v>197</v>
      </c>
      <c r="W17">
        <v>27</v>
      </c>
      <c r="X17">
        <v>88</v>
      </c>
    </row>
    <row r="18" spans="1:24" x14ac:dyDescent="0.3">
      <c r="A18" t="s">
        <v>0</v>
      </c>
      <c r="B18" s="25" t="s">
        <v>1</v>
      </c>
      <c r="C18">
        <v>2025</v>
      </c>
      <c r="D18" t="s">
        <v>47</v>
      </c>
      <c r="E18" t="s">
        <v>196</v>
      </c>
      <c r="F18">
        <v>58</v>
      </c>
      <c r="G18" t="s">
        <v>193</v>
      </c>
      <c r="H18" t="b">
        <v>1</v>
      </c>
      <c r="I18">
        <v>1</v>
      </c>
      <c r="J18" t="s">
        <v>194</v>
      </c>
      <c r="K18" s="39" t="b">
        <v>1</v>
      </c>
      <c r="L18" t="s">
        <v>197</v>
      </c>
      <c r="W18">
        <v>87</v>
      </c>
    </row>
    <row r="19" spans="1:24" x14ac:dyDescent="0.3">
      <c r="A19" t="s">
        <v>0</v>
      </c>
      <c r="B19" s="25" t="s">
        <v>1</v>
      </c>
      <c r="C19">
        <v>2025</v>
      </c>
      <c r="D19" t="s">
        <v>48</v>
      </c>
      <c r="E19" t="s">
        <v>196</v>
      </c>
      <c r="F19">
        <v>91</v>
      </c>
      <c r="G19" t="s">
        <v>193</v>
      </c>
      <c r="H19" t="b">
        <v>1</v>
      </c>
      <c r="I19">
        <v>1</v>
      </c>
      <c r="J19" t="s">
        <v>194</v>
      </c>
      <c r="K19" s="39" t="b">
        <v>1</v>
      </c>
      <c r="L19" t="s">
        <v>197</v>
      </c>
      <c r="W19">
        <v>73</v>
      </c>
    </row>
    <row r="20" spans="1:24" x14ac:dyDescent="0.3">
      <c r="A20" t="s">
        <v>0</v>
      </c>
      <c r="B20" s="25" t="s">
        <v>1</v>
      </c>
      <c r="C20">
        <v>2025</v>
      </c>
      <c r="D20" t="s">
        <v>49</v>
      </c>
      <c r="E20" t="s">
        <v>196</v>
      </c>
      <c r="F20">
        <v>47</v>
      </c>
      <c r="G20" t="s">
        <v>193</v>
      </c>
      <c r="H20" t="b">
        <v>1</v>
      </c>
      <c r="I20">
        <v>1</v>
      </c>
      <c r="J20" t="s">
        <v>194</v>
      </c>
      <c r="K20" s="39" t="b">
        <v>1</v>
      </c>
      <c r="L20" t="s">
        <v>197</v>
      </c>
      <c r="W20">
        <v>19</v>
      </c>
    </row>
    <row r="21" spans="1:24" x14ac:dyDescent="0.3">
      <c r="A21" t="s">
        <v>0</v>
      </c>
      <c r="B21" s="25" t="s">
        <v>1</v>
      </c>
      <c r="C21">
        <v>2025</v>
      </c>
      <c r="D21" t="s">
        <v>50</v>
      </c>
      <c r="E21" t="s">
        <v>196</v>
      </c>
      <c r="F21">
        <v>86</v>
      </c>
      <c r="G21" t="s">
        <v>193</v>
      </c>
      <c r="H21" t="b">
        <v>1</v>
      </c>
      <c r="I21">
        <v>1</v>
      </c>
      <c r="J21" t="s">
        <v>194</v>
      </c>
      <c r="K21" s="39" t="b">
        <v>1</v>
      </c>
      <c r="L21" t="s">
        <v>197</v>
      </c>
      <c r="W21">
        <v>88</v>
      </c>
    </row>
    <row r="22" spans="1:24" x14ac:dyDescent="0.3">
      <c r="A22" t="s">
        <v>0</v>
      </c>
      <c r="B22" s="25" t="s">
        <v>1</v>
      </c>
      <c r="C22">
        <v>2025</v>
      </c>
      <c r="D22" t="s">
        <v>51</v>
      </c>
      <c r="E22" t="s">
        <v>196</v>
      </c>
      <c r="F22">
        <v>48</v>
      </c>
      <c r="G22" t="s">
        <v>193</v>
      </c>
      <c r="H22" t="b">
        <v>1</v>
      </c>
      <c r="I22">
        <v>1</v>
      </c>
      <c r="J22" t="s">
        <v>194</v>
      </c>
      <c r="K22" s="39" t="b">
        <v>1</v>
      </c>
      <c r="L22" t="s">
        <v>197</v>
      </c>
    </row>
    <row r="23" spans="1:24" x14ac:dyDescent="0.3">
      <c r="A23" t="s">
        <v>0</v>
      </c>
      <c r="B23" s="25" t="s">
        <v>1</v>
      </c>
      <c r="C23">
        <v>2025</v>
      </c>
      <c r="D23" t="s">
        <v>52</v>
      </c>
      <c r="E23" t="s">
        <v>196</v>
      </c>
      <c r="F23">
        <v>11</v>
      </c>
      <c r="G23" t="s">
        <v>193</v>
      </c>
      <c r="H23" t="b">
        <v>1</v>
      </c>
      <c r="I23">
        <v>1</v>
      </c>
      <c r="J23" t="s">
        <v>194</v>
      </c>
      <c r="K23" s="39" t="b">
        <v>1</v>
      </c>
      <c r="L23" t="s">
        <v>197</v>
      </c>
    </row>
    <row r="24" spans="1:24" x14ac:dyDescent="0.3">
      <c r="A24" t="s">
        <v>0</v>
      </c>
      <c r="B24" s="25" t="s">
        <v>1</v>
      </c>
      <c r="C24">
        <v>2025</v>
      </c>
      <c r="D24" t="s">
        <v>53</v>
      </c>
      <c r="E24" t="s">
        <v>196</v>
      </c>
      <c r="F24">
        <v>47</v>
      </c>
      <c r="G24" t="s">
        <v>193</v>
      </c>
      <c r="H24" t="b">
        <v>1</v>
      </c>
      <c r="I24">
        <v>1</v>
      </c>
      <c r="J24" t="s">
        <v>194</v>
      </c>
      <c r="K24" s="39" t="b">
        <v>1</v>
      </c>
      <c r="L24" t="s">
        <v>197</v>
      </c>
    </row>
    <row r="25" spans="1:24" x14ac:dyDescent="0.3">
      <c r="A25" t="s">
        <v>0</v>
      </c>
      <c r="B25" s="25" t="s">
        <v>1</v>
      </c>
      <c r="C25">
        <v>2025</v>
      </c>
      <c r="D25" t="s">
        <v>54</v>
      </c>
      <c r="E25" t="s">
        <v>196</v>
      </c>
      <c r="F25">
        <v>39</v>
      </c>
      <c r="G25" t="s">
        <v>193</v>
      </c>
      <c r="H25" t="b">
        <v>1</v>
      </c>
      <c r="I25">
        <v>1</v>
      </c>
      <c r="J25" t="s">
        <v>194</v>
      </c>
      <c r="K25" s="39" t="b">
        <v>1</v>
      </c>
      <c r="L25" t="s">
        <v>197</v>
      </c>
    </row>
    <row r="26" spans="1:24" x14ac:dyDescent="0.3">
      <c r="A26" t="s">
        <v>0</v>
      </c>
      <c r="B26" s="25" t="s">
        <v>1</v>
      </c>
      <c r="C26">
        <v>2025</v>
      </c>
      <c r="D26" t="s">
        <v>55</v>
      </c>
      <c r="E26" t="s">
        <v>196</v>
      </c>
      <c r="F26">
        <v>57</v>
      </c>
      <c r="G26" t="s">
        <v>193</v>
      </c>
      <c r="H26" t="b">
        <v>1</v>
      </c>
      <c r="I26">
        <v>1</v>
      </c>
      <c r="J26" t="s">
        <v>194</v>
      </c>
      <c r="K26" s="39" t="b">
        <v>1</v>
      </c>
      <c r="L26" t="s">
        <v>197</v>
      </c>
    </row>
    <row r="27" spans="1:24" x14ac:dyDescent="0.3">
      <c r="A27" t="s">
        <v>0</v>
      </c>
      <c r="B27" s="25" t="s">
        <v>1</v>
      </c>
      <c r="C27">
        <v>2025</v>
      </c>
      <c r="D27" t="s">
        <v>56</v>
      </c>
      <c r="E27" t="s">
        <v>196</v>
      </c>
      <c r="F27">
        <v>36</v>
      </c>
      <c r="G27" t="s">
        <v>193</v>
      </c>
      <c r="H27" t="b">
        <v>1</v>
      </c>
      <c r="I27">
        <v>1</v>
      </c>
      <c r="J27" t="s">
        <v>194</v>
      </c>
      <c r="K27" s="39" t="b">
        <v>1</v>
      </c>
      <c r="L27" t="s">
        <v>197</v>
      </c>
    </row>
    <row r="28" spans="1:24" x14ac:dyDescent="0.3">
      <c r="B28" s="25"/>
      <c r="K28" s="39"/>
    </row>
    <row r="29" spans="1:24" x14ac:dyDescent="0.3">
      <c r="A29" t="s">
        <v>0</v>
      </c>
      <c r="B29" s="25" t="s">
        <v>1</v>
      </c>
      <c r="C29">
        <v>2025</v>
      </c>
      <c r="D29" t="s">
        <v>2</v>
      </c>
      <c r="E29" t="s">
        <v>198</v>
      </c>
      <c r="F29">
        <v>58</v>
      </c>
      <c r="G29" t="s">
        <v>193</v>
      </c>
      <c r="H29" t="b">
        <v>1</v>
      </c>
      <c r="I29">
        <v>1</v>
      </c>
      <c r="J29" t="s">
        <v>194</v>
      </c>
      <c r="K29" s="39" t="b">
        <v>1</v>
      </c>
      <c r="L29" t="s">
        <v>199</v>
      </c>
    </row>
    <row r="30" spans="1:24" x14ac:dyDescent="0.3">
      <c r="A30" t="s">
        <v>0</v>
      </c>
      <c r="B30" s="25" t="s">
        <v>1</v>
      </c>
      <c r="C30">
        <v>2025</v>
      </c>
      <c r="D30" t="s">
        <v>46</v>
      </c>
      <c r="E30" t="s">
        <v>198</v>
      </c>
      <c r="F30">
        <v>59</v>
      </c>
      <c r="G30" t="s">
        <v>193</v>
      </c>
      <c r="H30" t="b">
        <v>1</v>
      </c>
      <c r="I30">
        <v>1</v>
      </c>
      <c r="J30" t="s">
        <v>194</v>
      </c>
      <c r="K30" s="39" t="b">
        <v>1</v>
      </c>
      <c r="L30" t="s">
        <v>199</v>
      </c>
    </row>
    <row r="31" spans="1:24" x14ac:dyDescent="0.3">
      <c r="A31" t="s">
        <v>0</v>
      </c>
      <c r="B31" s="25" t="s">
        <v>1</v>
      </c>
      <c r="C31">
        <v>2025</v>
      </c>
      <c r="D31" t="s">
        <v>47</v>
      </c>
      <c r="E31" t="s">
        <v>198</v>
      </c>
      <c r="F31">
        <v>31</v>
      </c>
      <c r="G31" t="s">
        <v>193</v>
      </c>
      <c r="H31" t="b">
        <v>1</v>
      </c>
      <c r="I31">
        <v>1</v>
      </c>
      <c r="J31" t="s">
        <v>194</v>
      </c>
      <c r="K31" s="39" t="b">
        <v>1</v>
      </c>
      <c r="L31" t="s">
        <v>199</v>
      </c>
    </row>
    <row r="32" spans="1:24" x14ac:dyDescent="0.3">
      <c r="A32" t="s">
        <v>0</v>
      </c>
      <c r="B32" s="25" t="s">
        <v>1</v>
      </c>
      <c r="C32">
        <v>2025</v>
      </c>
      <c r="D32" t="s">
        <v>48</v>
      </c>
      <c r="E32" t="s">
        <v>198</v>
      </c>
      <c r="F32">
        <v>28</v>
      </c>
      <c r="G32" t="s">
        <v>193</v>
      </c>
      <c r="H32" t="b">
        <v>1</v>
      </c>
      <c r="I32">
        <v>1</v>
      </c>
      <c r="J32" t="s">
        <v>194</v>
      </c>
      <c r="K32" s="39" t="b">
        <v>1</v>
      </c>
      <c r="L32" t="s">
        <v>199</v>
      </c>
    </row>
    <row r="33" spans="1:12" x14ac:dyDescent="0.3">
      <c r="A33" t="s">
        <v>0</v>
      </c>
      <c r="B33" s="25" t="s">
        <v>1</v>
      </c>
      <c r="C33">
        <v>2025</v>
      </c>
      <c r="D33" t="s">
        <v>49</v>
      </c>
      <c r="E33" t="s">
        <v>198</v>
      </c>
      <c r="F33">
        <v>52</v>
      </c>
      <c r="G33" t="s">
        <v>193</v>
      </c>
      <c r="H33" t="b">
        <v>1</v>
      </c>
      <c r="I33">
        <v>1</v>
      </c>
      <c r="J33" t="s">
        <v>194</v>
      </c>
      <c r="K33" s="39" t="b">
        <v>1</v>
      </c>
      <c r="L33" t="s">
        <v>199</v>
      </c>
    </row>
    <row r="34" spans="1:12" x14ac:dyDescent="0.3">
      <c r="A34" t="s">
        <v>0</v>
      </c>
      <c r="B34" s="25" t="s">
        <v>1</v>
      </c>
      <c r="C34">
        <v>2025</v>
      </c>
      <c r="D34" t="s">
        <v>50</v>
      </c>
      <c r="E34" t="s">
        <v>198</v>
      </c>
      <c r="F34">
        <v>95</v>
      </c>
      <c r="G34" t="s">
        <v>193</v>
      </c>
      <c r="H34" t="b">
        <v>1</v>
      </c>
      <c r="I34">
        <v>1</v>
      </c>
      <c r="J34" t="s">
        <v>194</v>
      </c>
      <c r="K34" s="39" t="b">
        <v>1</v>
      </c>
      <c r="L34" t="s">
        <v>199</v>
      </c>
    </row>
    <row r="35" spans="1:12" x14ac:dyDescent="0.3">
      <c r="A35" t="s">
        <v>0</v>
      </c>
      <c r="B35" s="25" t="s">
        <v>1</v>
      </c>
      <c r="C35">
        <v>2025</v>
      </c>
      <c r="D35" t="s">
        <v>51</v>
      </c>
      <c r="E35" t="s">
        <v>198</v>
      </c>
      <c r="F35">
        <v>65</v>
      </c>
      <c r="G35" t="s">
        <v>193</v>
      </c>
      <c r="H35" t="b">
        <v>1</v>
      </c>
      <c r="I35">
        <v>1</v>
      </c>
      <c r="J35" t="s">
        <v>194</v>
      </c>
      <c r="K35" s="39" t="b">
        <v>1</v>
      </c>
      <c r="L35" t="s">
        <v>199</v>
      </c>
    </row>
    <row r="36" spans="1:12" x14ac:dyDescent="0.3">
      <c r="A36" t="s">
        <v>0</v>
      </c>
      <c r="B36" s="25" t="s">
        <v>1</v>
      </c>
      <c r="C36">
        <v>2025</v>
      </c>
      <c r="D36" t="s">
        <v>52</v>
      </c>
      <c r="E36" t="s">
        <v>198</v>
      </c>
      <c r="F36">
        <v>60</v>
      </c>
      <c r="G36" t="s">
        <v>193</v>
      </c>
      <c r="H36" t="b">
        <v>1</v>
      </c>
      <c r="I36">
        <v>1</v>
      </c>
      <c r="J36" t="s">
        <v>194</v>
      </c>
      <c r="K36" s="39" t="b">
        <v>1</v>
      </c>
      <c r="L36" t="s">
        <v>199</v>
      </c>
    </row>
    <row r="37" spans="1:12" x14ac:dyDescent="0.3">
      <c r="A37" t="s">
        <v>0</v>
      </c>
      <c r="B37" s="25" t="s">
        <v>1</v>
      </c>
      <c r="C37">
        <v>2025</v>
      </c>
      <c r="D37" t="s">
        <v>53</v>
      </c>
      <c r="E37" t="s">
        <v>198</v>
      </c>
      <c r="F37">
        <v>61</v>
      </c>
      <c r="G37" t="s">
        <v>193</v>
      </c>
      <c r="H37" t="b">
        <v>1</v>
      </c>
      <c r="I37">
        <v>1</v>
      </c>
      <c r="J37" t="s">
        <v>194</v>
      </c>
      <c r="K37" s="39" t="b">
        <v>1</v>
      </c>
      <c r="L37" t="s">
        <v>199</v>
      </c>
    </row>
    <row r="38" spans="1:12" x14ac:dyDescent="0.3">
      <c r="A38" t="s">
        <v>0</v>
      </c>
      <c r="B38" s="25" t="s">
        <v>1</v>
      </c>
      <c r="C38">
        <v>2025</v>
      </c>
      <c r="D38" t="s">
        <v>54</v>
      </c>
      <c r="E38" t="s">
        <v>198</v>
      </c>
      <c r="F38">
        <v>96</v>
      </c>
      <c r="G38" t="s">
        <v>193</v>
      </c>
      <c r="H38" t="b">
        <v>1</v>
      </c>
      <c r="I38">
        <v>1</v>
      </c>
      <c r="J38" t="s">
        <v>194</v>
      </c>
      <c r="K38" s="39" t="b">
        <v>1</v>
      </c>
      <c r="L38" t="s">
        <v>199</v>
      </c>
    </row>
    <row r="39" spans="1:12" x14ac:dyDescent="0.3">
      <c r="A39" t="s">
        <v>0</v>
      </c>
      <c r="B39" s="25" t="s">
        <v>1</v>
      </c>
      <c r="C39">
        <v>2025</v>
      </c>
      <c r="D39" t="s">
        <v>55</v>
      </c>
      <c r="E39" t="s">
        <v>198</v>
      </c>
      <c r="F39">
        <v>97</v>
      </c>
      <c r="G39" t="s">
        <v>193</v>
      </c>
      <c r="H39" t="b">
        <v>1</v>
      </c>
      <c r="I39">
        <v>1</v>
      </c>
      <c r="J39" t="s">
        <v>194</v>
      </c>
      <c r="K39" s="39" t="b">
        <v>1</v>
      </c>
      <c r="L39" t="s">
        <v>199</v>
      </c>
    </row>
    <row r="40" spans="1:12" x14ac:dyDescent="0.3">
      <c r="A40" t="s">
        <v>0</v>
      </c>
      <c r="B40" s="25" t="s">
        <v>1</v>
      </c>
      <c r="C40">
        <v>2025</v>
      </c>
      <c r="D40" t="s">
        <v>56</v>
      </c>
      <c r="E40" t="s">
        <v>198</v>
      </c>
      <c r="F40">
        <v>54</v>
      </c>
      <c r="G40" t="s">
        <v>193</v>
      </c>
      <c r="H40" t="b">
        <v>1</v>
      </c>
      <c r="I40">
        <v>1</v>
      </c>
      <c r="J40" t="s">
        <v>194</v>
      </c>
      <c r="K40" s="39" t="b">
        <v>1</v>
      </c>
      <c r="L40" t="s">
        <v>199</v>
      </c>
    </row>
    <row r="41" spans="1:12" x14ac:dyDescent="0.3">
      <c r="B41" s="25"/>
      <c r="K41" s="39"/>
    </row>
    <row r="42" spans="1:12" x14ac:dyDescent="0.3">
      <c r="A42" t="s">
        <v>0</v>
      </c>
      <c r="B42" s="25" t="s">
        <v>1</v>
      </c>
      <c r="C42">
        <v>2025</v>
      </c>
      <c r="D42" t="s">
        <v>2</v>
      </c>
      <c r="E42" t="s">
        <v>200</v>
      </c>
      <c r="F42">
        <v>19</v>
      </c>
      <c r="G42" t="s">
        <v>193</v>
      </c>
      <c r="H42" t="b">
        <v>1</v>
      </c>
      <c r="I42">
        <v>1</v>
      </c>
      <c r="J42" t="s">
        <v>194</v>
      </c>
      <c r="K42" s="39" t="b">
        <v>1</v>
      </c>
      <c r="L42" t="s">
        <v>199</v>
      </c>
    </row>
    <row r="43" spans="1:12" x14ac:dyDescent="0.3">
      <c r="A43" t="s">
        <v>0</v>
      </c>
      <c r="B43" s="25" t="s">
        <v>1</v>
      </c>
      <c r="C43">
        <v>2025</v>
      </c>
      <c r="D43" t="s">
        <v>46</v>
      </c>
      <c r="E43" t="s">
        <v>200</v>
      </c>
      <c r="F43">
        <v>79</v>
      </c>
      <c r="G43" t="s">
        <v>193</v>
      </c>
      <c r="H43" t="b">
        <v>1</v>
      </c>
      <c r="I43">
        <v>1</v>
      </c>
      <c r="J43" t="s">
        <v>194</v>
      </c>
      <c r="K43" s="39" t="b">
        <v>1</v>
      </c>
      <c r="L43" t="s">
        <v>199</v>
      </c>
    </row>
    <row r="44" spans="1:12" x14ac:dyDescent="0.3">
      <c r="A44" t="s">
        <v>0</v>
      </c>
      <c r="B44" s="25" t="s">
        <v>1</v>
      </c>
      <c r="C44">
        <v>2025</v>
      </c>
      <c r="D44" t="s">
        <v>47</v>
      </c>
      <c r="E44" t="s">
        <v>200</v>
      </c>
      <c r="F44">
        <v>79</v>
      </c>
      <c r="G44" t="s">
        <v>193</v>
      </c>
      <c r="H44" t="b">
        <v>1</v>
      </c>
      <c r="I44">
        <v>1</v>
      </c>
      <c r="J44" t="s">
        <v>194</v>
      </c>
      <c r="K44" s="39" t="b">
        <v>1</v>
      </c>
      <c r="L44" t="s">
        <v>199</v>
      </c>
    </row>
    <row r="45" spans="1:12" x14ac:dyDescent="0.3">
      <c r="A45" t="s">
        <v>0</v>
      </c>
      <c r="B45" s="25" t="s">
        <v>1</v>
      </c>
      <c r="C45">
        <v>2025</v>
      </c>
      <c r="D45" t="s">
        <v>48</v>
      </c>
      <c r="E45" t="s">
        <v>200</v>
      </c>
      <c r="F45">
        <v>24</v>
      </c>
      <c r="G45" t="s">
        <v>193</v>
      </c>
      <c r="H45" t="b">
        <v>1</v>
      </c>
      <c r="I45">
        <v>1</v>
      </c>
      <c r="J45" t="s">
        <v>194</v>
      </c>
      <c r="K45" s="39" t="b">
        <v>1</v>
      </c>
      <c r="L45" t="s">
        <v>199</v>
      </c>
    </row>
    <row r="46" spans="1:12" x14ac:dyDescent="0.3">
      <c r="A46" t="s">
        <v>0</v>
      </c>
      <c r="B46" s="25" t="s">
        <v>1</v>
      </c>
      <c r="C46">
        <v>2025</v>
      </c>
      <c r="D46" t="s">
        <v>49</v>
      </c>
      <c r="E46" t="s">
        <v>200</v>
      </c>
      <c r="F46">
        <v>59</v>
      </c>
      <c r="G46" t="s">
        <v>193</v>
      </c>
      <c r="H46" t="b">
        <v>1</v>
      </c>
      <c r="I46">
        <v>1</v>
      </c>
      <c r="J46" t="s">
        <v>194</v>
      </c>
      <c r="K46" s="39" t="b">
        <v>1</v>
      </c>
      <c r="L46" t="s">
        <v>199</v>
      </c>
    </row>
    <row r="47" spans="1:12" x14ac:dyDescent="0.3">
      <c r="A47" t="s">
        <v>0</v>
      </c>
      <c r="B47" s="25" t="s">
        <v>1</v>
      </c>
      <c r="C47">
        <v>2025</v>
      </c>
      <c r="D47" t="s">
        <v>50</v>
      </c>
      <c r="E47" t="s">
        <v>200</v>
      </c>
      <c r="F47">
        <v>84</v>
      </c>
      <c r="G47" t="s">
        <v>193</v>
      </c>
      <c r="H47" t="b">
        <v>1</v>
      </c>
      <c r="I47">
        <v>1</v>
      </c>
      <c r="J47" t="s">
        <v>194</v>
      </c>
      <c r="K47" s="39" t="b">
        <v>1</v>
      </c>
      <c r="L47" t="s">
        <v>199</v>
      </c>
    </row>
    <row r="48" spans="1:12" x14ac:dyDescent="0.3">
      <c r="A48" t="s">
        <v>0</v>
      </c>
      <c r="B48" s="25" t="s">
        <v>1</v>
      </c>
      <c r="C48">
        <v>2025</v>
      </c>
      <c r="D48" t="s">
        <v>51</v>
      </c>
      <c r="E48" t="s">
        <v>200</v>
      </c>
      <c r="F48">
        <v>67</v>
      </c>
      <c r="G48" t="s">
        <v>193</v>
      </c>
      <c r="H48" t="b">
        <v>1</v>
      </c>
      <c r="I48">
        <v>1</v>
      </c>
      <c r="J48" t="s">
        <v>194</v>
      </c>
      <c r="K48" s="39" t="b">
        <v>1</v>
      </c>
      <c r="L48" t="s">
        <v>199</v>
      </c>
    </row>
    <row r="49" spans="1:12" x14ac:dyDescent="0.3">
      <c r="A49" t="s">
        <v>0</v>
      </c>
      <c r="B49" s="25" t="s">
        <v>1</v>
      </c>
      <c r="C49">
        <v>2025</v>
      </c>
      <c r="D49" t="s">
        <v>52</v>
      </c>
      <c r="E49" t="s">
        <v>200</v>
      </c>
      <c r="F49">
        <v>75</v>
      </c>
      <c r="G49" t="s">
        <v>193</v>
      </c>
      <c r="H49" t="b">
        <v>1</v>
      </c>
      <c r="I49">
        <v>1</v>
      </c>
      <c r="J49" t="s">
        <v>194</v>
      </c>
      <c r="K49" s="39" t="b">
        <v>1</v>
      </c>
      <c r="L49" t="s">
        <v>199</v>
      </c>
    </row>
    <row r="50" spans="1:12" x14ac:dyDescent="0.3">
      <c r="A50" t="s">
        <v>0</v>
      </c>
      <c r="B50" s="25" t="s">
        <v>1</v>
      </c>
      <c r="C50">
        <v>2025</v>
      </c>
      <c r="D50" t="s">
        <v>53</v>
      </c>
      <c r="E50" t="s">
        <v>200</v>
      </c>
      <c r="F50">
        <v>79</v>
      </c>
      <c r="G50" t="s">
        <v>193</v>
      </c>
      <c r="H50" t="b">
        <v>1</v>
      </c>
      <c r="I50">
        <v>1</v>
      </c>
      <c r="J50" t="s">
        <v>194</v>
      </c>
      <c r="K50" s="39" t="b">
        <v>1</v>
      </c>
      <c r="L50" t="s">
        <v>199</v>
      </c>
    </row>
    <row r="51" spans="1:12" x14ac:dyDescent="0.3">
      <c r="A51" t="s">
        <v>0</v>
      </c>
      <c r="B51" s="25" t="s">
        <v>1</v>
      </c>
      <c r="C51">
        <v>2025</v>
      </c>
      <c r="D51" t="s">
        <v>54</v>
      </c>
      <c r="E51" t="s">
        <v>200</v>
      </c>
      <c r="F51">
        <v>67</v>
      </c>
      <c r="G51" t="s">
        <v>193</v>
      </c>
      <c r="H51" t="b">
        <v>1</v>
      </c>
      <c r="I51">
        <v>1</v>
      </c>
      <c r="J51" t="s">
        <v>194</v>
      </c>
      <c r="K51" s="39" t="b">
        <v>1</v>
      </c>
      <c r="L51" t="s">
        <v>199</v>
      </c>
    </row>
    <row r="52" spans="1:12" x14ac:dyDescent="0.3">
      <c r="A52" t="s">
        <v>0</v>
      </c>
      <c r="B52" s="25" t="s">
        <v>1</v>
      </c>
      <c r="C52">
        <v>2025</v>
      </c>
      <c r="D52" t="s">
        <v>55</v>
      </c>
      <c r="E52" t="s">
        <v>200</v>
      </c>
      <c r="F52">
        <v>53</v>
      </c>
      <c r="G52" t="s">
        <v>193</v>
      </c>
      <c r="H52" t="b">
        <v>1</v>
      </c>
      <c r="I52">
        <v>1</v>
      </c>
      <c r="J52" t="s">
        <v>194</v>
      </c>
      <c r="K52" s="39" t="b">
        <v>1</v>
      </c>
      <c r="L52" t="s">
        <v>199</v>
      </c>
    </row>
    <row r="53" spans="1:12" x14ac:dyDescent="0.3">
      <c r="A53" t="s">
        <v>0</v>
      </c>
      <c r="B53" s="25" t="s">
        <v>1</v>
      </c>
      <c r="C53">
        <v>2025</v>
      </c>
      <c r="D53" t="s">
        <v>56</v>
      </c>
      <c r="E53" t="s">
        <v>200</v>
      </c>
      <c r="F53">
        <v>27</v>
      </c>
      <c r="G53" t="s">
        <v>193</v>
      </c>
      <c r="H53" t="b">
        <v>1</v>
      </c>
      <c r="I53">
        <v>1</v>
      </c>
      <c r="J53" t="s">
        <v>194</v>
      </c>
      <c r="K53" s="39" t="b">
        <v>1</v>
      </c>
      <c r="L53" t="s">
        <v>199</v>
      </c>
    </row>
    <row r="56" spans="1:12" x14ac:dyDescent="0.3">
      <c r="A56" t="s">
        <v>60</v>
      </c>
      <c r="B56" s="56" t="s">
        <v>61</v>
      </c>
      <c r="C56">
        <v>2025</v>
      </c>
      <c r="D56" t="s">
        <v>48</v>
      </c>
      <c r="E56" t="s">
        <v>192</v>
      </c>
      <c r="F56">
        <v>15</v>
      </c>
      <c r="G56" t="s">
        <v>193</v>
      </c>
      <c r="H56" t="b">
        <v>1</v>
      </c>
      <c r="I56">
        <v>1</v>
      </c>
      <c r="J56" t="s">
        <v>194</v>
      </c>
      <c r="K56" s="39" t="b">
        <v>1</v>
      </c>
      <c r="L56" t="s">
        <v>195</v>
      </c>
    </row>
    <row r="57" spans="1:12" x14ac:dyDescent="0.3">
      <c r="A57" t="s">
        <v>60</v>
      </c>
      <c r="B57" s="56" t="s">
        <v>61</v>
      </c>
      <c r="C57">
        <v>2025</v>
      </c>
      <c r="D57" t="s">
        <v>52</v>
      </c>
      <c r="E57" t="s">
        <v>192</v>
      </c>
      <c r="F57">
        <v>27</v>
      </c>
      <c r="G57" t="s">
        <v>193</v>
      </c>
      <c r="H57" t="b">
        <v>1</v>
      </c>
      <c r="I57">
        <v>1</v>
      </c>
      <c r="J57" t="s">
        <v>194</v>
      </c>
      <c r="K57" s="39" t="b">
        <v>1</v>
      </c>
      <c r="L57" t="s">
        <v>195</v>
      </c>
    </row>
    <row r="58" spans="1:12" x14ac:dyDescent="0.3">
      <c r="A58" t="s">
        <v>60</v>
      </c>
      <c r="B58" s="56" t="s">
        <v>61</v>
      </c>
      <c r="C58">
        <v>2025</v>
      </c>
      <c r="D58" t="s">
        <v>56</v>
      </c>
      <c r="E58" t="s">
        <v>192</v>
      </c>
      <c r="F58">
        <v>87</v>
      </c>
      <c r="G58" t="s">
        <v>193</v>
      </c>
      <c r="H58" t="b">
        <v>1</v>
      </c>
      <c r="I58">
        <v>1</v>
      </c>
      <c r="J58" t="s">
        <v>194</v>
      </c>
      <c r="K58" s="39" t="b">
        <v>1</v>
      </c>
      <c r="L58" t="s">
        <v>195</v>
      </c>
    </row>
    <row r="59" spans="1:12" x14ac:dyDescent="0.3">
      <c r="B59" s="56"/>
      <c r="K59" s="39"/>
    </row>
    <row r="60" spans="1:12" x14ac:dyDescent="0.3">
      <c r="A60" t="s">
        <v>60</v>
      </c>
      <c r="B60" s="56" t="s">
        <v>61</v>
      </c>
      <c r="C60">
        <v>2025</v>
      </c>
      <c r="D60" t="s">
        <v>2</v>
      </c>
      <c r="E60" t="s">
        <v>196</v>
      </c>
      <c r="F60">
        <v>94</v>
      </c>
      <c r="G60" t="s">
        <v>193</v>
      </c>
      <c r="H60" t="b">
        <v>1</v>
      </c>
      <c r="I60">
        <v>1</v>
      </c>
      <c r="J60" t="s">
        <v>194</v>
      </c>
      <c r="K60" s="39" t="b">
        <v>1</v>
      </c>
      <c r="L60" t="s">
        <v>197</v>
      </c>
    </row>
    <row r="61" spans="1:12" x14ac:dyDescent="0.3">
      <c r="A61" t="s">
        <v>60</v>
      </c>
      <c r="B61" s="56" t="s">
        <v>61</v>
      </c>
      <c r="C61">
        <v>2025</v>
      </c>
      <c r="D61" t="s">
        <v>46</v>
      </c>
      <c r="E61" t="s">
        <v>196</v>
      </c>
      <c r="F61">
        <v>74</v>
      </c>
      <c r="G61" t="s">
        <v>193</v>
      </c>
      <c r="H61" t="b">
        <v>1</v>
      </c>
      <c r="I61">
        <v>1</v>
      </c>
      <c r="J61" t="s">
        <v>194</v>
      </c>
      <c r="K61" s="39" t="b">
        <v>1</v>
      </c>
      <c r="L61" t="s">
        <v>197</v>
      </c>
    </row>
    <row r="62" spans="1:12" x14ac:dyDescent="0.3">
      <c r="A62" t="s">
        <v>60</v>
      </c>
      <c r="B62" s="56" t="s">
        <v>61</v>
      </c>
      <c r="C62">
        <v>2025</v>
      </c>
      <c r="D62" t="s">
        <v>47</v>
      </c>
      <c r="E62" t="s">
        <v>196</v>
      </c>
      <c r="F62">
        <v>79</v>
      </c>
      <c r="G62" t="s">
        <v>193</v>
      </c>
      <c r="H62" t="b">
        <v>1</v>
      </c>
      <c r="I62">
        <v>1</v>
      </c>
      <c r="J62" t="s">
        <v>194</v>
      </c>
      <c r="K62" s="39" t="b">
        <v>1</v>
      </c>
      <c r="L62" t="s">
        <v>197</v>
      </c>
    </row>
    <row r="63" spans="1:12" x14ac:dyDescent="0.3">
      <c r="A63" t="s">
        <v>60</v>
      </c>
      <c r="B63" s="56" t="s">
        <v>61</v>
      </c>
      <c r="C63">
        <v>2025</v>
      </c>
      <c r="D63" t="s">
        <v>48</v>
      </c>
      <c r="E63" t="s">
        <v>196</v>
      </c>
      <c r="F63">
        <v>82</v>
      </c>
      <c r="G63" t="s">
        <v>193</v>
      </c>
      <c r="H63" t="b">
        <v>1</v>
      </c>
      <c r="I63">
        <v>1</v>
      </c>
      <c r="J63" t="s">
        <v>194</v>
      </c>
      <c r="K63" s="39" t="b">
        <v>1</v>
      </c>
      <c r="L63" t="s">
        <v>197</v>
      </c>
    </row>
    <row r="64" spans="1:12" x14ac:dyDescent="0.3">
      <c r="A64" t="s">
        <v>60</v>
      </c>
      <c r="B64" s="56" t="s">
        <v>61</v>
      </c>
      <c r="C64">
        <v>2025</v>
      </c>
      <c r="D64" t="s">
        <v>49</v>
      </c>
      <c r="E64" t="s">
        <v>196</v>
      </c>
      <c r="F64">
        <v>82</v>
      </c>
      <c r="G64" t="s">
        <v>193</v>
      </c>
      <c r="H64" t="b">
        <v>1</v>
      </c>
      <c r="I64">
        <v>1</v>
      </c>
      <c r="J64" t="s">
        <v>194</v>
      </c>
      <c r="K64" s="39" t="b">
        <v>1</v>
      </c>
      <c r="L64" t="s">
        <v>197</v>
      </c>
    </row>
    <row r="65" spans="1:12" x14ac:dyDescent="0.3">
      <c r="A65" t="s">
        <v>60</v>
      </c>
      <c r="B65" s="56" t="s">
        <v>61</v>
      </c>
      <c r="C65">
        <v>2025</v>
      </c>
      <c r="D65" t="s">
        <v>50</v>
      </c>
      <c r="E65" t="s">
        <v>196</v>
      </c>
      <c r="F65">
        <v>59</v>
      </c>
      <c r="G65" t="s">
        <v>193</v>
      </c>
      <c r="H65" t="b">
        <v>1</v>
      </c>
      <c r="I65">
        <v>1</v>
      </c>
      <c r="J65" t="s">
        <v>194</v>
      </c>
      <c r="K65" s="39" t="b">
        <v>1</v>
      </c>
      <c r="L65" t="s">
        <v>197</v>
      </c>
    </row>
    <row r="66" spans="1:12" x14ac:dyDescent="0.3">
      <c r="A66" t="s">
        <v>60</v>
      </c>
      <c r="B66" s="56" t="s">
        <v>61</v>
      </c>
      <c r="C66">
        <v>2025</v>
      </c>
      <c r="D66" t="s">
        <v>51</v>
      </c>
      <c r="E66" t="s">
        <v>196</v>
      </c>
      <c r="F66">
        <v>59</v>
      </c>
      <c r="G66" t="s">
        <v>193</v>
      </c>
      <c r="H66" t="b">
        <v>1</v>
      </c>
      <c r="I66">
        <v>1</v>
      </c>
      <c r="J66" t="s">
        <v>194</v>
      </c>
      <c r="K66" s="39" t="b">
        <v>1</v>
      </c>
      <c r="L66" t="s">
        <v>197</v>
      </c>
    </row>
    <row r="67" spans="1:12" x14ac:dyDescent="0.3">
      <c r="A67" t="s">
        <v>60</v>
      </c>
      <c r="B67" s="56" t="s">
        <v>61</v>
      </c>
      <c r="C67">
        <v>2025</v>
      </c>
      <c r="D67" t="s">
        <v>52</v>
      </c>
      <c r="E67" t="s">
        <v>196</v>
      </c>
      <c r="F67">
        <v>72</v>
      </c>
      <c r="G67" t="s">
        <v>193</v>
      </c>
      <c r="H67" t="b">
        <v>1</v>
      </c>
      <c r="I67">
        <v>1</v>
      </c>
      <c r="J67" t="s">
        <v>194</v>
      </c>
      <c r="K67" s="39" t="b">
        <v>1</v>
      </c>
      <c r="L67" t="s">
        <v>197</v>
      </c>
    </row>
    <row r="68" spans="1:12" x14ac:dyDescent="0.3">
      <c r="A68" t="s">
        <v>60</v>
      </c>
      <c r="B68" s="56" t="s">
        <v>61</v>
      </c>
      <c r="C68">
        <v>2025</v>
      </c>
      <c r="D68" t="s">
        <v>53</v>
      </c>
      <c r="E68" t="s">
        <v>196</v>
      </c>
      <c r="F68">
        <v>30</v>
      </c>
      <c r="G68" t="s">
        <v>193</v>
      </c>
      <c r="H68" t="b">
        <v>1</v>
      </c>
      <c r="I68">
        <v>1</v>
      </c>
      <c r="J68" t="s">
        <v>194</v>
      </c>
      <c r="K68" s="39" t="b">
        <v>1</v>
      </c>
      <c r="L68" t="s">
        <v>197</v>
      </c>
    </row>
    <row r="69" spans="1:12" x14ac:dyDescent="0.3">
      <c r="A69" t="s">
        <v>60</v>
      </c>
      <c r="B69" s="56" t="s">
        <v>61</v>
      </c>
      <c r="C69">
        <v>2025</v>
      </c>
      <c r="D69" t="s">
        <v>54</v>
      </c>
      <c r="E69" t="s">
        <v>196</v>
      </c>
      <c r="F69">
        <v>62</v>
      </c>
      <c r="G69" t="s">
        <v>193</v>
      </c>
      <c r="H69" t="b">
        <v>1</v>
      </c>
      <c r="I69">
        <v>1</v>
      </c>
      <c r="J69" t="s">
        <v>194</v>
      </c>
      <c r="K69" s="39" t="b">
        <v>1</v>
      </c>
      <c r="L69" t="s">
        <v>197</v>
      </c>
    </row>
    <row r="70" spans="1:12" x14ac:dyDescent="0.3">
      <c r="A70" t="s">
        <v>60</v>
      </c>
      <c r="B70" s="56" t="s">
        <v>61</v>
      </c>
      <c r="C70">
        <v>2025</v>
      </c>
      <c r="D70" t="s">
        <v>55</v>
      </c>
      <c r="E70" t="s">
        <v>196</v>
      </c>
      <c r="F70">
        <v>40</v>
      </c>
      <c r="G70" t="s">
        <v>193</v>
      </c>
      <c r="H70" t="b">
        <v>1</v>
      </c>
      <c r="I70">
        <v>1</v>
      </c>
      <c r="J70" t="s">
        <v>194</v>
      </c>
      <c r="K70" s="39" t="b">
        <v>1</v>
      </c>
      <c r="L70" t="s">
        <v>197</v>
      </c>
    </row>
    <row r="71" spans="1:12" x14ac:dyDescent="0.3">
      <c r="A71" t="s">
        <v>60</v>
      </c>
      <c r="B71" s="56" t="s">
        <v>61</v>
      </c>
      <c r="C71">
        <v>2025</v>
      </c>
      <c r="D71" t="s">
        <v>56</v>
      </c>
      <c r="E71" t="s">
        <v>196</v>
      </c>
      <c r="F71">
        <v>49</v>
      </c>
      <c r="G71" t="s">
        <v>193</v>
      </c>
      <c r="H71" t="b">
        <v>1</v>
      </c>
      <c r="I71">
        <v>1</v>
      </c>
      <c r="J71" t="s">
        <v>194</v>
      </c>
      <c r="K71" s="39" t="b">
        <v>1</v>
      </c>
      <c r="L71" t="s">
        <v>197</v>
      </c>
    </row>
    <row r="72" spans="1:12" x14ac:dyDescent="0.3">
      <c r="B72" s="56"/>
      <c r="K72" s="39"/>
    </row>
    <row r="73" spans="1:12" x14ac:dyDescent="0.3">
      <c r="A73" t="s">
        <v>60</v>
      </c>
      <c r="B73" s="56" t="s">
        <v>61</v>
      </c>
      <c r="C73">
        <v>2025</v>
      </c>
      <c r="D73" t="s">
        <v>2</v>
      </c>
      <c r="E73" t="s">
        <v>198</v>
      </c>
      <c r="F73">
        <v>81</v>
      </c>
      <c r="G73" t="s">
        <v>193</v>
      </c>
      <c r="H73" t="b">
        <v>1</v>
      </c>
      <c r="I73">
        <v>1</v>
      </c>
      <c r="J73" t="s">
        <v>194</v>
      </c>
      <c r="K73" s="39" t="b">
        <v>1</v>
      </c>
      <c r="L73" t="s">
        <v>199</v>
      </c>
    </row>
    <row r="74" spans="1:12" x14ac:dyDescent="0.3">
      <c r="A74" t="s">
        <v>60</v>
      </c>
      <c r="B74" s="56" t="s">
        <v>61</v>
      </c>
      <c r="C74">
        <v>2025</v>
      </c>
      <c r="D74" t="s">
        <v>46</v>
      </c>
      <c r="E74" t="s">
        <v>198</v>
      </c>
      <c r="F74">
        <v>50</v>
      </c>
      <c r="G74" t="s">
        <v>193</v>
      </c>
      <c r="H74" t="b">
        <v>1</v>
      </c>
      <c r="I74">
        <v>1</v>
      </c>
      <c r="J74" t="s">
        <v>194</v>
      </c>
      <c r="K74" s="39" t="b">
        <v>1</v>
      </c>
      <c r="L74" t="s">
        <v>199</v>
      </c>
    </row>
    <row r="75" spans="1:12" x14ac:dyDescent="0.3">
      <c r="A75" t="s">
        <v>60</v>
      </c>
      <c r="B75" s="56" t="s">
        <v>61</v>
      </c>
      <c r="C75">
        <v>2025</v>
      </c>
      <c r="D75" t="s">
        <v>47</v>
      </c>
      <c r="E75" t="s">
        <v>198</v>
      </c>
      <c r="F75">
        <v>57</v>
      </c>
      <c r="G75" t="s">
        <v>193</v>
      </c>
      <c r="H75" t="b">
        <v>1</v>
      </c>
      <c r="I75">
        <v>1</v>
      </c>
      <c r="J75" t="s">
        <v>194</v>
      </c>
      <c r="K75" s="39" t="b">
        <v>1</v>
      </c>
      <c r="L75" t="s">
        <v>199</v>
      </c>
    </row>
    <row r="76" spans="1:12" x14ac:dyDescent="0.3">
      <c r="A76" t="s">
        <v>60</v>
      </c>
      <c r="B76" s="56" t="s">
        <v>61</v>
      </c>
      <c r="C76">
        <v>2025</v>
      </c>
      <c r="D76" t="s">
        <v>48</v>
      </c>
      <c r="E76" t="s">
        <v>198</v>
      </c>
      <c r="F76">
        <v>17</v>
      </c>
      <c r="G76" t="s">
        <v>193</v>
      </c>
      <c r="H76" t="b">
        <v>1</v>
      </c>
      <c r="I76">
        <v>1</v>
      </c>
      <c r="J76" t="s">
        <v>194</v>
      </c>
      <c r="K76" s="39" t="b">
        <v>1</v>
      </c>
      <c r="L76" t="s">
        <v>199</v>
      </c>
    </row>
    <row r="77" spans="1:12" x14ac:dyDescent="0.3">
      <c r="A77" t="s">
        <v>60</v>
      </c>
      <c r="B77" s="56" t="s">
        <v>61</v>
      </c>
      <c r="C77">
        <v>2025</v>
      </c>
      <c r="D77" t="s">
        <v>49</v>
      </c>
      <c r="E77" t="s">
        <v>198</v>
      </c>
      <c r="F77">
        <v>13</v>
      </c>
      <c r="G77" t="s">
        <v>193</v>
      </c>
      <c r="H77" t="b">
        <v>1</v>
      </c>
      <c r="I77">
        <v>1</v>
      </c>
      <c r="J77" t="s">
        <v>194</v>
      </c>
      <c r="K77" s="39" t="b">
        <v>1</v>
      </c>
      <c r="L77" t="s">
        <v>199</v>
      </c>
    </row>
    <row r="78" spans="1:12" x14ac:dyDescent="0.3">
      <c r="A78" t="s">
        <v>60</v>
      </c>
      <c r="B78" s="56" t="s">
        <v>61</v>
      </c>
      <c r="C78">
        <v>2025</v>
      </c>
      <c r="D78" t="s">
        <v>50</v>
      </c>
      <c r="E78" t="s">
        <v>198</v>
      </c>
      <c r="F78">
        <v>85</v>
      </c>
      <c r="G78" t="s">
        <v>193</v>
      </c>
      <c r="H78" t="b">
        <v>1</v>
      </c>
      <c r="I78">
        <v>1</v>
      </c>
      <c r="J78" t="s">
        <v>194</v>
      </c>
      <c r="K78" s="39" t="b">
        <v>1</v>
      </c>
      <c r="L78" t="s">
        <v>199</v>
      </c>
    </row>
    <row r="79" spans="1:12" x14ac:dyDescent="0.3">
      <c r="A79" t="s">
        <v>60</v>
      </c>
      <c r="B79" s="56" t="s">
        <v>61</v>
      </c>
      <c r="C79">
        <v>2025</v>
      </c>
      <c r="D79" t="s">
        <v>51</v>
      </c>
      <c r="E79" t="s">
        <v>198</v>
      </c>
      <c r="F79">
        <v>85</v>
      </c>
      <c r="G79" t="s">
        <v>193</v>
      </c>
      <c r="H79" t="b">
        <v>1</v>
      </c>
      <c r="I79">
        <v>1</v>
      </c>
      <c r="J79" t="s">
        <v>194</v>
      </c>
      <c r="K79" s="39" t="b">
        <v>1</v>
      </c>
      <c r="L79" t="s">
        <v>199</v>
      </c>
    </row>
    <row r="80" spans="1:12" x14ac:dyDescent="0.3">
      <c r="A80" t="s">
        <v>60</v>
      </c>
      <c r="B80" s="56" t="s">
        <v>61</v>
      </c>
      <c r="C80">
        <v>2025</v>
      </c>
      <c r="D80" t="s">
        <v>52</v>
      </c>
      <c r="E80" t="s">
        <v>198</v>
      </c>
      <c r="F80">
        <v>19</v>
      </c>
      <c r="G80" t="s">
        <v>193</v>
      </c>
      <c r="H80" t="b">
        <v>1</v>
      </c>
      <c r="I80">
        <v>1</v>
      </c>
      <c r="J80" t="s">
        <v>194</v>
      </c>
      <c r="K80" s="39" t="b">
        <v>1</v>
      </c>
      <c r="L80" t="s">
        <v>199</v>
      </c>
    </row>
    <row r="81" spans="1:12" x14ac:dyDescent="0.3">
      <c r="A81" t="s">
        <v>60</v>
      </c>
      <c r="B81" s="56" t="s">
        <v>61</v>
      </c>
      <c r="C81">
        <v>2025</v>
      </c>
      <c r="D81" t="s">
        <v>53</v>
      </c>
      <c r="E81" t="s">
        <v>198</v>
      </c>
      <c r="F81">
        <v>68</v>
      </c>
      <c r="G81" t="s">
        <v>193</v>
      </c>
      <c r="H81" t="b">
        <v>1</v>
      </c>
      <c r="I81">
        <v>1</v>
      </c>
      <c r="J81" t="s">
        <v>194</v>
      </c>
      <c r="K81" s="39" t="b">
        <v>1</v>
      </c>
      <c r="L81" t="s">
        <v>199</v>
      </c>
    </row>
    <row r="82" spans="1:12" x14ac:dyDescent="0.3">
      <c r="A82" t="s">
        <v>60</v>
      </c>
      <c r="B82" s="56" t="s">
        <v>61</v>
      </c>
      <c r="C82">
        <v>2025</v>
      </c>
      <c r="D82" t="s">
        <v>54</v>
      </c>
      <c r="E82" t="s">
        <v>198</v>
      </c>
      <c r="F82">
        <v>55</v>
      </c>
      <c r="G82" t="s">
        <v>193</v>
      </c>
      <c r="H82" t="b">
        <v>1</v>
      </c>
      <c r="I82">
        <v>1</v>
      </c>
      <c r="J82" t="s">
        <v>194</v>
      </c>
      <c r="K82" s="39" t="b">
        <v>1</v>
      </c>
      <c r="L82" t="s">
        <v>199</v>
      </c>
    </row>
    <row r="83" spans="1:12" x14ac:dyDescent="0.3">
      <c r="A83" t="s">
        <v>60</v>
      </c>
      <c r="B83" s="56" t="s">
        <v>61</v>
      </c>
      <c r="C83">
        <v>2025</v>
      </c>
      <c r="D83" t="s">
        <v>55</v>
      </c>
      <c r="E83" t="s">
        <v>198</v>
      </c>
      <c r="F83">
        <v>23</v>
      </c>
      <c r="G83" t="s">
        <v>193</v>
      </c>
      <c r="H83" t="b">
        <v>1</v>
      </c>
      <c r="I83">
        <v>1</v>
      </c>
      <c r="J83" t="s">
        <v>194</v>
      </c>
      <c r="K83" s="39" t="b">
        <v>1</v>
      </c>
      <c r="L83" t="s">
        <v>199</v>
      </c>
    </row>
    <row r="84" spans="1:12" x14ac:dyDescent="0.3">
      <c r="A84" t="s">
        <v>60</v>
      </c>
      <c r="B84" s="56" t="s">
        <v>61</v>
      </c>
      <c r="C84">
        <v>2025</v>
      </c>
      <c r="D84" t="s">
        <v>56</v>
      </c>
      <c r="E84" t="s">
        <v>198</v>
      </c>
      <c r="F84">
        <v>70</v>
      </c>
      <c r="G84" t="s">
        <v>193</v>
      </c>
      <c r="H84" t="b">
        <v>1</v>
      </c>
      <c r="I84">
        <v>1</v>
      </c>
      <c r="J84" t="s">
        <v>194</v>
      </c>
      <c r="K84" s="39" t="b">
        <v>1</v>
      </c>
      <c r="L84" t="s">
        <v>199</v>
      </c>
    </row>
    <row r="85" spans="1:12" x14ac:dyDescent="0.3">
      <c r="B85" s="56"/>
      <c r="K85" s="39"/>
    </row>
    <row r="86" spans="1:12" x14ac:dyDescent="0.3">
      <c r="A86" t="s">
        <v>60</v>
      </c>
      <c r="B86" s="56" t="s">
        <v>61</v>
      </c>
      <c r="C86">
        <v>2025</v>
      </c>
      <c r="D86" t="s">
        <v>2</v>
      </c>
      <c r="E86" t="s">
        <v>201</v>
      </c>
      <c r="F86">
        <v>41</v>
      </c>
      <c r="G86" t="s">
        <v>193</v>
      </c>
      <c r="H86" t="b">
        <v>1</v>
      </c>
      <c r="I86">
        <v>1</v>
      </c>
      <c r="J86" t="s">
        <v>194</v>
      </c>
      <c r="K86" s="39" t="b">
        <v>1</v>
      </c>
      <c r="L86" t="s">
        <v>199</v>
      </c>
    </row>
    <row r="87" spans="1:12" x14ac:dyDescent="0.3">
      <c r="A87" t="s">
        <v>60</v>
      </c>
      <c r="B87" s="56" t="s">
        <v>61</v>
      </c>
      <c r="C87">
        <v>2025</v>
      </c>
      <c r="D87" t="s">
        <v>46</v>
      </c>
      <c r="E87" t="s">
        <v>201</v>
      </c>
      <c r="F87">
        <v>10</v>
      </c>
      <c r="G87" t="s">
        <v>193</v>
      </c>
      <c r="H87" t="b">
        <v>1</v>
      </c>
      <c r="I87">
        <v>1</v>
      </c>
      <c r="J87" t="s">
        <v>194</v>
      </c>
      <c r="K87" s="39" t="b">
        <v>1</v>
      </c>
      <c r="L87" t="s">
        <v>199</v>
      </c>
    </row>
    <row r="88" spans="1:12" x14ac:dyDescent="0.3">
      <c r="A88" t="s">
        <v>60</v>
      </c>
      <c r="B88" s="56" t="s">
        <v>61</v>
      </c>
      <c r="C88">
        <v>2025</v>
      </c>
      <c r="D88" t="s">
        <v>47</v>
      </c>
      <c r="E88" t="s">
        <v>201</v>
      </c>
      <c r="F88">
        <v>92</v>
      </c>
      <c r="G88" t="s">
        <v>193</v>
      </c>
      <c r="H88" t="b">
        <v>1</v>
      </c>
      <c r="I88">
        <v>1</v>
      </c>
      <c r="J88" t="s">
        <v>194</v>
      </c>
      <c r="K88" s="39" t="b">
        <v>1</v>
      </c>
      <c r="L88" t="s">
        <v>199</v>
      </c>
    </row>
    <row r="89" spans="1:12" x14ac:dyDescent="0.3">
      <c r="A89" t="s">
        <v>60</v>
      </c>
      <c r="B89" s="56" t="s">
        <v>61</v>
      </c>
      <c r="C89">
        <v>2025</v>
      </c>
      <c r="D89" t="s">
        <v>48</v>
      </c>
      <c r="E89" t="s">
        <v>201</v>
      </c>
      <c r="F89">
        <v>31</v>
      </c>
      <c r="G89" t="s">
        <v>193</v>
      </c>
      <c r="H89" t="b">
        <v>1</v>
      </c>
      <c r="I89">
        <v>1</v>
      </c>
      <c r="J89" t="s">
        <v>194</v>
      </c>
      <c r="K89" s="39" t="b">
        <v>1</v>
      </c>
      <c r="L89" t="s">
        <v>199</v>
      </c>
    </row>
    <row r="90" spans="1:12" x14ac:dyDescent="0.3">
      <c r="A90" t="s">
        <v>60</v>
      </c>
      <c r="B90" s="56" t="s">
        <v>61</v>
      </c>
      <c r="C90">
        <v>2025</v>
      </c>
      <c r="D90" t="s">
        <v>49</v>
      </c>
      <c r="E90" t="s">
        <v>201</v>
      </c>
      <c r="F90">
        <v>21</v>
      </c>
      <c r="G90" t="s">
        <v>193</v>
      </c>
      <c r="H90" t="b">
        <v>1</v>
      </c>
      <c r="I90">
        <v>1</v>
      </c>
      <c r="J90" t="s">
        <v>194</v>
      </c>
      <c r="K90" s="39" t="b">
        <v>1</v>
      </c>
      <c r="L90" t="s">
        <v>199</v>
      </c>
    </row>
    <row r="91" spans="1:12" x14ac:dyDescent="0.3">
      <c r="A91" t="s">
        <v>60</v>
      </c>
      <c r="B91" s="56" t="s">
        <v>61</v>
      </c>
      <c r="C91">
        <v>2025</v>
      </c>
      <c r="D91" t="s">
        <v>50</v>
      </c>
      <c r="E91" t="s">
        <v>201</v>
      </c>
      <c r="F91">
        <v>61</v>
      </c>
      <c r="G91" t="s">
        <v>193</v>
      </c>
      <c r="H91" t="b">
        <v>1</v>
      </c>
      <c r="I91">
        <v>1</v>
      </c>
      <c r="J91" t="s">
        <v>194</v>
      </c>
      <c r="K91" s="39" t="b">
        <v>1</v>
      </c>
      <c r="L91" t="s">
        <v>199</v>
      </c>
    </row>
    <row r="92" spans="1:12" x14ac:dyDescent="0.3">
      <c r="A92" t="s">
        <v>60</v>
      </c>
      <c r="B92" s="56" t="s">
        <v>61</v>
      </c>
      <c r="C92">
        <v>2025</v>
      </c>
      <c r="D92" t="s">
        <v>51</v>
      </c>
      <c r="E92" t="s">
        <v>201</v>
      </c>
      <c r="F92">
        <v>41</v>
      </c>
      <c r="G92" t="s">
        <v>193</v>
      </c>
      <c r="H92" t="b">
        <v>1</v>
      </c>
      <c r="I92">
        <v>1</v>
      </c>
      <c r="J92" t="s">
        <v>194</v>
      </c>
      <c r="K92" s="39" t="b">
        <v>1</v>
      </c>
      <c r="L92" t="s">
        <v>199</v>
      </c>
    </row>
    <row r="93" spans="1:12" x14ac:dyDescent="0.3">
      <c r="A93" t="s">
        <v>60</v>
      </c>
      <c r="B93" s="56" t="s">
        <v>61</v>
      </c>
      <c r="C93">
        <v>2025</v>
      </c>
      <c r="D93" t="s">
        <v>52</v>
      </c>
      <c r="E93" t="s">
        <v>201</v>
      </c>
      <c r="F93">
        <v>38</v>
      </c>
      <c r="G93" t="s">
        <v>193</v>
      </c>
      <c r="H93" t="b">
        <v>1</v>
      </c>
      <c r="I93">
        <v>1</v>
      </c>
      <c r="J93" t="s">
        <v>194</v>
      </c>
      <c r="K93" s="39" t="b">
        <v>1</v>
      </c>
      <c r="L93" t="s">
        <v>199</v>
      </c>
    </row>
    <row r="94" spans="1:12" x14ac:dyDescent="0.3">
      <c r="A94" t="s">
        <v>60</v>
      </c>
      <c r="B94" s="56" t="s">
        <v>61</v>
      </c>
      <c r="C94">
        <v>2025</v>
      </c>
      <c r="D94" t="s">
        <v>53</v>
      </c>
      <c r="E94" t="s">
        <v>201</v>
      </c>
      <c r="F94">
        <v>43</v>
      </c>
      <c r="G94" t="s">
        <v>193</v>
      </c>
      <c r="H94" t="b">
        <v>1</v>
      </c>
      <c r="I94">
        <v>1</v>
      </c>
      <c r="J94" t="s">
        <v>194</v>
      </c>
      <c r="K94" s="39" t="b">
        <v>1</v>
      </c>
      <c r="L94" t="s">
        <v>199</v>
      </c>
    </row>
    <row r="95" spans="1:12" x14ac:dyDescent="0.3">
      <c r="A95" t="s">
        <v>60</v>
      </c>
      <c r="B95" s="56" t="s">
        <v>61</v>
      </c>
      <c r="C95">
        <v>2025</v>
      </c>
      <c r="D95" t="s">
        <v>54</v>
      </c>
      <c r="E95" t="s">
        <v>201</v>
      </c>
      <c r="F95">
        <v>83</v>
      </c>
      <c r="G95" t="s">
        <v>193</v>
      </c>
      <c r="H95" t="b">
        <v>1</v>
      </c>
      <c r="I95">
        <v>1</v>
      </c>
      <c r="J95" t="s">
        <v>194</v>
      </c>
      <c r="K95" s="39" t="b">
        <v>1</v>
      </c>
      <c r="L95" t="s">
        <v>199</v>
      </c>
    </row>
    <row r="96" spans="1:12" x14ac:dyDescent="0.3">
      <c r="A96" t="s">
        <v>60</v>
      </c>
      <c r="B96" s="56" t="s">
        <v>61</v>
      </c>
      <c r="C96">
        <v>2025</v>
      </c>
      <c r="D96" t="s">
        <v>55</v>
      </c>
      <c r="E96" t="s">
        <v>201</v>
      </c>
      <c r="F96">
        <v>88</v>
      </c>
      <c r="G96" t="s">
        <v>193</v>
      </c>
      <c r="H96" t="b">
        <v>1</v>
      </c>
      <c r="I96">
        <v>1</v>
      </c>
      <c r="J96" t="s">
        <v>194</v>
      </c>
      <c r="K96" s="39" t="b">
        <v>1</v>
      </c>
      <c r="L96" t="s">
        <v>199</v>
      </c>
    </row>
    <row r="97" spans="1:12" x14ac:dyDescent="0.3">
      <c r="A97" t="s">
        <v>60</v>
      </c>
      <c r="B97" s="56" t="s">
        <v>61</v>
      </c>
      <c r="C97">
        <v>2025</v>
      </c>
      <c r="D97" t="s">
        <v>56</v>
      </c>
      <c r="E97" t="s">
        <v>201</v>
      </c>
      <c r="F97">
        <v>20</v>
      </c>
      <c r="G97" t="s">
        <v>193</v>
      </c>
      <c r="H97" t="b">
        <v>1</v>
      </c>
      <c r="I97">
        <v>1</v>
      </c>
      <c r="J97" t="s">
        <v>194</v>
      </c>
      <c r="K97" s="39" t="b">
        <v>1</v>
      </c>
      <c r="L97" t="s">
        <v>199</v>
      </c>
    </row>
    <row r="98" spans="1:12" x14ac:dyDescent="0.3">
      <c r="B98" s="56"/>
      <c r="K98" s="39"/>
    </row>
    <row r="99" spans="1:12" x14ac:dyDescent="0.3">
      <c r="A99" t="s">
        <v>60</v>
      </c>
      <c r="B99" s="56" t="s">
        <v>61</v>
      </c>
      <c r="C99">
        <v>2025</v>
      </c>
      <c r="D99" t="s">
        <v>2</v>
      </c>
      <c r="E99" t="s">
        <v>200</v>
      </c>
      <c r="F99">
        <v>57</v>
      </c>
      <c r="G99" t="s">
        <v>193</v>
      </c>
      <c r="H99" t="b">
        <v>1</v>
      </c>
      <c r="I99">
        <v>1</v>
      </c>
      <c r="J99" t="s">
        <v>194</v>
      </c>
      <c r="K99" s="39" t="b">
        <v>1</v>
      </c>
      <c r="L99" t="s">
        <v>199</v>
      </c>
    </row>
    <row r="100" spans="1:12" x14ac:dyDescent="0.3">
      <c r="A100" t="s">
        <v>60</v>
      </c>
      <c r="B100" s="56" t="s">
        <v>61</v>
      </c>
      <c r="C100">
        <v>2025</v>
      </c>
      <c r="D100" t="s">
        <v>46</v>
      </c>
      <c r="E100" t="s">
        <v>200</v>
      </c>
      <c r="F100">
        <v>65</v>
      </c>
      <c r="G100" t="s">
        <v>193</v>
      </c>
      <c r="H100" t="b">
        <v>1</v>
      </c>
      <c r="I100">
        <v>1</v>
      </c>
      <c r="J100" t="s">
        <v>194</v>
      </c>
      <c r="K100" s="39" t="b">
        <v>1</v>
      </c>
      <c r="L100" t="s">
        <v>199</v>
      </c>
    </row>
    <row r="101" spans="1:12" x14ac:dyDescent="0.3">
      <c r="A101" t="s">
        <v>60</v>
      </c>
      <c r="B101" s="56" t="s">
        <v>61</v>
      </c>
      <c r="C101">
        <v>2025</v>
      </c>
      <c r="D101" t="s">
        <v>47</v>
      </c>
      <c r="E101" t="s">
        <v>200</v>
      </c>
      <c r="F101">
        <v>65</v>
      </c>
      <c r="G101" t="s">
        <v>193</v>
      </c>
      <c r="H101" t="b">
        <v>1</v>
      </c>
      <c r="I101">
        <v>1</v>
      </c>
      <c r="J101" t="s">
        <v>194</v>
      </c>
      <c r="K101" s="39" t="b">
        <v>1</v>
      </c>
      <c r="L101" t="s">
        <v>199</v>
      </c>
    </row>
    <row r="102" spans="1:12" x14ac:dyDescent="0.3">
      <c r="A102" t="s">
        <v>60</v>
      </c>
      <c r="B102" s="56" t="s">
        <v>61</v>
      </c>
      <c r="C102">
        <v>2025</v>
      </c>
      <c r="D102" t="s">
        <v>48</v>
      </c>
      <c r="E102" t="s">
        <v>200</v>
      </c>
      <c r="F102">
        <v>26</v>
      </c>
      <c r="G102" t="s">
        <v>193</v>
      </c>
      <c r="H102" t="b">
        <v>1</v>
      </c>
      <c r="I102">
        <v>1</v>
      </c>
      <c r="J102" t="s">
        <v>194</v>
      </c>
      <c r="K102" s="39" t="b">
        <v>1</v>
      </c>
      <c r="L102" t="s">
        <v>199</v>
      </c>
    </row>
    <row r="103" spans="1:12" x14ac:dyDescent="0.3">
      <c r="A103" t="s">
        <v>60</v>
      </c>
      <c r="B103" s="56" t="s">
        <v>61</v>
      </c>
      <c r="C103">
        <v>2025</v>
      </c>
      <c r="D103" t="s">
        <v>49</v>
      </c>
      <c r="E103" t="s">
        <v>200</v>
      </c>
      <c r="F103">
        <v>87</v>
      </c>
      <c r="G103" t="s">
        <v>193</v>
      </c>
      <c r="H103" t="b">
        <v>1</v>
      </c>
      <c r="I103">
        <v>1</v>
      </c>
      <c r="J103" t="s">
        <v>194</v>
      </c>
      <c r="K103" s="39" t="b">
        <v>1</v>
      </c>
      <c r="L103" t="s">
        <v>199</v>
      </c>
    </row>
    <row r="104" spans="1:12" x14ac:dyDescent="0.3">
      <c r="A104" t="s">
        <v>60</v>
      </c>
      <c r="B104" s="56" t="s">
        <v>61</v>
      </c>
      <c r="C104">
        <v>2025</v>
      </c>
      <c r="D104" t="s">
        <v>50</v>
      </c>
      <c r="E104" t="s">
        <v>200</v>
      </c>
      <c r="F104">
        <v>40</v>
      </c>
      <c r="G104" t="s">
        <v>193</v>
      </c>
      <c r="H104" t="b">
        <v>1</v>
      </c>
      <c r="I104">
        <v>1</v>
      </c>
      <c r="J104" t="s">
        <v>194</v>
      </c>
      <c r="K104" s="39" t="b">
        <v>1</v>
      </c>
      <c r="L104" t="s">
        <v>199</v>
      </c>
    </row>
    <row r="105" spans="1:12" x14ac:dyDescent="0.3">
      <c r="A105" t="s">
        <v>60</v>
      </c>
      <c r="B105" s="56" t="s">
        <v>61</v>
      </c>
      <c r="C105">
        <v>2025</v>
      </c>
      <c r="D105" t="s">
        <v>51</v>
      </c>
      <c r="E105" t="s">
        <v>200</v>
      </c>
      <c r="F105">
        <v>78</v>
      </c>
      <c r="G105" t="s">
        <v>193</v>
      </c>
      <c r="H105" t="b">
        <v>1</v>
      </c>
      <c r="I105">
        <v>1</v>
      </c>
      <c r="J105" t="s">
        <v>194</v>
      </c>
      <c r="K105" s="39" t="b">
        <v>1</v>
      </c>
      <c r="L105" t="s">
        <v>199</v>
      </c>
    </row>
    <row r="106" spans="1:12" x14ac:dyDescent="0.3">
      <c r="A106" t="s">
        <v>60</v>
      </c>
      <c r="B106" s="56" t="s">
        <v>61</v>
      </c>
      <c r="C106">
        <v>2025</v>
      </c>
      <c r="D106" t="s">
        <v>52</v>
      </c>
      <c r="E106" t="s">
        <v>200</v>
      </c>
      <c r="F106">
        <v>45</v>
      </c>
      <c r="G106" t="s">
        <v>193</v>
      </c>
      <c r="H106" t="b">
        <v>1</v>
      </c>
      <c r="I106">
        <v>1</v>
      </c>
      <c r="J106" t="s">
        <v>194</v>
      </c>
      <c r="K106" s="39" t="b">
        <v>1</v>
      </c>
      <c r="L106" t="s">
        <v>199</v>
      </c>
    </row>
    <row r="107" spans="1:12" x14ac:dyDescent="0.3">
      <c r="A107" t="s">
        <v>60</v>
      </c>
      <c r="B107" s="56" t="s">
        <v>61</v>
      </c>
      <c r="C107">
        <v>2025</v>
      </c>
      <c r="D107" t="s">
        <v>53</v>
      </c>
      <c r="E107" t="s">
        <v>200</v>
      </c>
      <c r="F107">
        <v>73</v>
      </c>
      <c r="G107" t="s">
        <v>193</v>
      </c>
      <c r="H107" t="b">
        <v>1</v>
      </c>
      <c r="I107">
        <v>1</v>
      </c>
      <c r="J107" t="s">
        <v>194</v>
      </c>
      <c r="K107" s="39" t="b">
        <v>1</v>
      </c>
      <c r="L107" t="s">
        <v>199</v>
      </c>
    </row>
    <row r="108" spans="1:12" x14ac:dyDescent="0.3">
      <c r="A108" t="s">
        <v>60</v>
      </c>
      <c r="B108" s="56" t="s">
        <v>61</v>
      </c>
      <c r="C108">
        <v>2025</v>
      </c>
      <c r="D108" t="s">
        <v>54</v>
      </c>
      <c r="E108" t="s">
        <v>200</v>
      </c>
      <c r="F108">
        <v>26</v>
      </c>
      <c r="G108" t="s">
        <v>193</v>
      </c>
      <c r="H108" t="b">
        <v>1</v>
      </c>
      <c r="I108">
        <v>1</v>
      </c>
      <c r="J108" t="s">
        <v>194</v>
      </c>
      <c r="K108" s="39" t="b">
        <v>1</v>
      </c>
      <c r="L108" t="s">
        <v>199</v>
      </c>
    </row>
    <row r="109" spans="1:12" x14ac:dyDescent="0.3">
      <c r="A109" t="s">
        <v>60</v>
      </c>
      <c r="B109" s="56" t="s">
        <v>61</v>
      </c>
      <c r="C109">
        <v>2025</v>
      </c>
      <c r="D109" t="s">
        <v>55</v>
      </c>
      <c r="E109" t="s">
        <v>200</v>
      </c>
      <c r="F109">
        <v>50</v>
      </c>
      <c r="G109" t="s">
        <v>193</v>
      </c>
      <c r="H109" t="b">
        <v>1</v>
      </c>
      <c r="I109">
        <v>1</v>
      </c>
      <c r="J109" t="s">
        <v>194</v>
      </c>
      <c r="K109" s="39" t="b">
        <v>1</v>
      </c>
      <c r="L109" t="s">
        <v>199</v>
      </c>
    </row>
    <row r="110" spans="1:12" x14ac:dyDescent="0.3">
      <c r="A110" t="s">
        <v>60</v>
      </c>
      <c r="B110" s="56" t="s">
        <v>61</v>
      </c>
      <c r="C110">
        <v>2025</v>
      </c>
      <c r="D110" t="s">
        <v>56</v>
      </c>
      <c r="E110" t="s">
        <v>200</v>
      </c>
      <c r="F110">
        <v>78</v>
      </c>
      <c r="G110" t="s">
        <v>193</v>
      </c>
      <c r="H110" t="b">
        <v>1</v>
      </c>
      <c r="I110">
        <v>1</v>
      </c>
      <c r="J110" t="s">
        <v>194</v>
      </c>
      <c r="K110" s="39" t="b">
        <v>1</v>
      </c>
      <c r="L110" t="s">
        <v>199</v>
      </c>
    </row>
    <row r="113" spans="1:12" x14ac:dyDescent="0.3">
      <c r="A113" t="s">
        <v>69</v>
      </c>
      <c r="B113" s="57" t="s">
        <v>70</v>
      </c>
      <c r="C113">
        <v>2025</v>
      </c>
      <c r="D113" t="s">
        <v>48</v>
      </c>
      <c r="E113" t="s">
        <v>192</v>
      </c>
      <c r="F113">
        <v>73</v>
      </c>
      <c r="G113" t="s">
        <v>193</v>
      </c>
      <c r="H113" t="b">
        <v>1</v>
      </c>
      <c r="I113">
        <v>1</v>
      </c>
      <c r="J113" t="s">
        <v>194</v>
      </c>
      <c r="K113" s="39" t="b">
        <v>1</v>
      </c>
      <c r="L113" t="s">
        <v>195</v>
      </c>
    </row>
    <row r="114" spans="1:12" x14ac:dyDescent="0.3">
      <c r="A114" t="s">
        <v>69</v>
      </c>
      <c r="B114" s="57" t="s">
        <v>70</v>
      </c>
      <c r="C114">
        <v>2025</v>
      </c>
      <c r="D114" t="s">
        <v>52</v>
      </c>
      <c r="E114" t="s">
        <v>192</v>
      </c>
      <c r="F114">
        <v>19</v>
      </c>
      <c r="G114" t="s">
        <v>193</v>
      </c>
      <c r="H114" t="b">
        <v>1</v>
      </c>
      <c r="I114">
        <v>1</v>
      </c>
      <c r="J114" t="s">
        <v>194</v>
      </c>
      <c r="K114" s="39" t="b">
        <v>1</v>
      </c>
      <c r="L114" t="s">
        <v>195</v>
      </c>
    </row>
    <row r="115" spans="1:12" x14ac:dyDescent="0.3">
      <c r="A115" t="s">
        <v>69</v>
      </c>
      <c r="B115" s="57" t="s">
        <v>70</v>
      </c>
      <c r="C115">
        <v>2025</v>
      </c>
      <c r="D115" t="s">
        <v>56</v>
      </c>
      <c r="E115" t="s">
        <v>192</v>
      </c>
      <c r="F115">
        <v>88</v>
      </c>
      <c r="G115" t="s">
        <v>193</v>
      </c>
      <c r="H115" t="b">
        <v>1</v>
      </c>
      <c r="I115">
        <v>1</v>
      </c>
      <c r="J115" t="s">
        <v>194</v>
      </c>
      <c r="K115" s="39" t="b">
        <v>1</v>
      </c>
      <c r="L115" t="s">
        <v>195</v>
      </c>
    </row>
    <row r="116" spans="1:12" x14ac:dyDescent="0.3">
      <c r="B116" s="57"/>
      <c r="K116" s="39"/>
    </row>
    <row r="117" spans="1:12" x14ac:dyDescent="0.3">
      <c r="A117" t="s">
        <v>69</v>
      </c>
      <c r="B117" s="57" t="s">
        <v>70</v>
      </c>
      <c r="C117">
        <v>2025</v>
      </c>
      <c r="D117" t="s">
        <v>2</v>
      </c>
      <c r="E117" t="s">
        <v>196</v>
      </c>
      <c r="F117">
        <v>99</v>
      </c>
      <c r="G117" t="s">
        <v>193</v>
      </c>
      <c r="H117" t="b">
        <v>1</v>
      </c>
      <c r="I117">
        <v>1</v>
      </c>
      <c r="J117" t="s">
        <v>194</v>
      </c>
      <c r="K117" s="39" t="b">
        <v>1</v>
      </c>
      <c r="L117" t="s">
        <v>197</v>
      </c>
    </row>
    <row r="118" spans="1:12" x14ac:dyDescent="0.3">
      <c r="A118" t="s">
        <v>69</v>
      </c>
      <c r="B118" s="57" t="s">
        <v>70</v>
      </c>
      <c r="C118">
        <v>2025</v>
      </c>
      <c r="D118" t="s">
        <v>46</v>
      </c>
      <c r="E118" t="s">
        <v>196</v>
      </c>
      <c r="F118">
        <v>90</v>
      </c>
      <c r="G118" t="s">
        <v>193</v>
      </c>
      <c r="H118" t="b">
        <v>1</v>
      </c>
      <c r="I118">
        <v>1</v>
      </c>
      <c r="J118" t="s">
        <v>194</v>
      </c>
      <c r="K118" s="39" t="b">
        <v>1</v>
      </c>
      <c r="L118" t="s">
        <v>197</v>
      </c>
    </row>
    <row r="119" spans="1:12" x14ac:dyDescent="0.3">
      <c r="A119" t="s">
        <v>69</v>
      </c>
      <c r="B119" s="57" t="s">
        <v>70</v>
      </c>
      <c r="C119">
        <v>2025</v>
      </c>
      <c r="D119" t="s">
        <v>47</v>
      </c>
      <c r="E119" t="s">
        <v>196</v>
      </c>
      <c r="F119">
        <v>57</v>
      </c>
      <c r="G119" t="s">
        <v>193</v>
      </c>
      <c r="H119" t="b">
        <v>1</v>
      </c>
      <c r="I119">
        <v>1</v>
      </c>
      <c r="J119" t="s">
        <v>194</v>
      </c>
      <c r="K119" s="39" t="b">
        <v>1</v>
      </c>
      <c r="L119" t="s">
        <v>197</v>
      </c>
    </row>
    <row r="120" spans="1:12" x14ac:dyDescent="0.3">
      <c r="A120" t="s">
        <v>69</v>
      </c>
      <c r="B120" s="57" t="s">
        <v>70</v>
      </c>
      <c r="C120">
        <v>2025</v>
      </c>
      <c r="D120" t="s">
        <v>48</v>
      </c>
      <c r="E120" t="s">
        <v>196</v>
      </c>
      <c r="F120">
        <v>89</v>
      </c>
      <c r="G120" t="s">
        <v>193</v>
      </c>
      <c r="H120" t="b">
        <v>1</v>
      </c>
      <c r="I120">
        <v>1</v>
      </c>
      <c r="J120" t="s">
        <v>194</v>
      </c>
      <c r="K120" s="39" t="b">
        <v>1</v>
      </c>
      <c r="L120" t="s">
        <v>197</v>
      </c>
    </row>
    <row r="121" spans="1:12" x14ac:dyDescent="0.3">
      <c r="A121" t="s">
        <v>69</v>
      </c>
      <c r="B121" s="57" t="s">
        <v>70</v>
      </c>
      <c r="C121">
        <v>2025</v>
      </c>
      <c r="D121" t="s">
        <v>49</v>
      </c>
      <c r="E121" t="s">
        <v>196</v>
      </c>
      <c r="F121">
        <v>21</v>
      </c>
      <c r="G121" t="s">
        <v>193</v>
      </c>
      <c r="H121" t="b">
        <v>1</v>
      </c>
      <c r="I121">
        <v>1</v>
      </c>
      <c r="J121" t="s">
        <v>194</v>
      </c>
      <c r="K121" s="39" t="b">
        <v>1</v>
      </c>
      <c r="L121" t="s">
        <v>197</v>
      </c>
    </row>
    <row r="122" spans="1:12" x14ac:dyDescent="0.3">
      <c r="A122" t="s">
        <v>69</v>
      </c>
      <c r="B122" s="57" t="s">
        <v>70</v>
      </c>
      <c r="C122">
        <v>2025</v>
      </c>
      <c r="D122" t="s">
        <v>50</v>
      </c>
      <c r="E122" t="s">
        <v>196</v>
      </c>
      <c r="F122">
        <v>73</v>
      </c>
      <c r="G122" t="s">
        <v>193</v>
      </c>
      <c r="H122" t="b">
        <v>1</v>
      </c>
      <c r="I122">
        <v>1</v>
      </c>
      <c r="J122" t="s">
        <v>194</v>
      </c>
      <c r="K122" s="39" t="b">
        <v>1</v>
      </c>
      <c r="L122" t="s">
        <v>197</v>
      </c>
    </row>
    <row r="123" spans="1:12" x14ac:dyDescent="0.3">
      <c r="A123" t="s">
        <v>69</v>
      </c>
      <c r="B123" s="57" t="s">
        <v>70</v>
      </c>
      <c r="C123">
        <v>2025</v>
      </c>
      <c r="D123" t="s">
        <v>51</v>
      </c>
      <c r="E123" t="s">
        <v>196</v>
      </c>
      <c r="F123">
        <v>53</v>
      </c>
      <c r="G123" t="s">
        <v>193</v>
      </c>
      <c r="H123" t="b">
        <v>1</v>
      </c>
      <c r="I123">
        <v>1</v>
      </c>
      <c r="J123" t="s">
        <v>194</v>
      </c>
      <c r="K123" s="39" t="b">
        <v>1</v>
      </c>
      <c r="L123" t="s">
        <v>197</v>
      </c>
    </row>
    <row r="124" spans="1:12" x14ac:dyDescent="0.3">
      <c r="A124" t="s">
        <v>69</v>
      </c>
      <c r="B124" s="57" t="s">
        <v>70</v>
      </c>
      <c r="C124">
        <v>2025</v>
      </c>
      <c r="D124" t="s">
        <v>52</v>
      </c>
      <c r="E124" t="s">
        <v>196</v>
      </c>
      <c r="F124">
        <v>39</v>
      </c>
      <c r="G124" t="s">
        <v>193</v>
      </c>
      <c r="H124" t="b">
        <v>1</v>
      </c>
      <c r="I124">
        <v>1</v>
      </c>
      <c r="J124" t="s">
        <v>194</v>
      </c>
      <c r="K124" s="39" t="b">
        <v>1</v>
      </c>
      <c r="L124" t="s">
        <v>197</v>
      </c>
    </row>
    <row r="125" spans="1:12" x14ac:dyDescent="0.3">
      <c r="A125" t="s">
        <v>69</v>
      </c>
      <c r="B125" s="57" t="s">
        <v>70</v>
      </c>
      <c r="C125">
        <v>2025</v>
      </c>
      <c r="D125" t="s">
        <v>53</v>
      </c>
      <c r="E125" t="s">
        <v>196</v>
      </c>
      <c r="F125">
        <v>95</v>
      </c>
      <c r="G125" t="s">
        <v>193</v>
      </c>
      <c r="H125" t="b">
        <v>1</v>
      </c>
      <c r="I125">
        <v>1</v>
      </c>
      <c r="J125" t="s">
        <v>194</v>
      </c>
      <c r="K125" s="39" t="b">
        <v>1</v>
      </c>
      <c r="L125" t="s">
        <v>197</v>
      </c>
    </row>
    <row r="126" spans="1:12" x14ac:dyDescent="0.3">
      <c r="A126" t="s">
        <v>69</v>
      </c>
      <c r="B126" s="57" t="s">
        <v>70</v>
      </c>
      <c r="C126">
        <v>2025</v>
      </c>
      <c r="D126" t="s">
        <v>54</v>
      </c>
      <c r="E126" t="s">
        <v>196</v>
      </c>
      <c r="F126">
        <v>22</v>
      </c>
      <c r="G126" t="s">
        <v>193</v>
      </c>
      <c r="H126" t="b">
        <v>1</v>
      </c>
      <c r="I126">
        <v>1</v>
      </c>
      <c r="J126" t="s">
        <v>194</v>
      </c>
      <c r="K126" s="39" t="b">
        <v>1</v>
      </c>
      <c r="L126" t="s">
        <v>197</v>
      </c>
    </row>
    <row r="127" spans="1:12" x14ac:dyDescent="0.3">
      <c r="A127" t="s">
        <v>69</v>
      </c>
      <c r="B127" s="57" t="s">
        <v>70</v>
      </c>
      <c r="C127">
        <v>2025</v>
      </c>
      <c r="D127" t="s">
        <v>55</v>
      </c>
      <c r="E127" t="s">
        <v>196</v>
      </c>
      <c r="F127">
        <v>97</v>
      </c>
      <c r="G127" t="s">
        <v>193</v>
      </c>
      <c r="H127" t="b">
        <v>1</v>
      </c>
      <c r="I127">
        <v>1</v>
      </c>
      <c r="J127" t="s">
        <v>194</v>
      </c>
      <c r="K127" s="39" t="b">
        <v>1</v>
      </c>
      <c r="L127" t="s">
        <v>197</v>
      </c>
    </row>
    <row r="128" spans="1:12" x14ac:dyDescent="0.3">
      <c r="A128" t="s">
        <v>69</v>
      </c>
      <c r="B128" s="57" t="s">
        <v>70</v>
      </c>
      <c r="C128">
        <v>2025</v>
      </c>
      <c r="D128" t="s">
        <v>56</v>
      </c>
      <c r="E128" t="s">
        <v>196</v>
      </c>
      <c r="F128">
        <v>15</v>
      </c>
      <c r="G128" t="s">
        <v>193</v>
      </c>
      <c r="H128" t="b">
        <v>1</v>
      </c>
      <c r="I128">
        <v>1</v>
      </c>
      <c r="J128" t="s">
        <v>194</v>
      </c>
      <c r="K128" s="39" t="b">
        <v>1</v>
      </c>
      <c r="L128" t="s">
        <v>197</v>
      </c>
    </row>
    <row r="129" spans="1:12" x14ac:dyDescent="0.3">
      <c r="B129" s="57"/>
      <c r="K129" s="39"/>
    </row>
    <row r="130" spans="1:12" x14ac:dyDescent="0.3">
      <c r="A130" t="s">
        <v>69</v>
      </c>
      <c r="B130" s="57" t="s">
        <v>70</v>
      </c>
      <c r="C130">
        <v>2025</v>
      </c>
      <c r="D130" t="s">
        <v>2</v>
      </c>
      <c r="E130" t="s">
        <v>198</v>
      </c>
      <c r="F130">
        <v>87</v>
      </c>
      <c r="G130" t="s">
        <v>193</v>
      </c>
      <c r="H130" t="b">
        <v>1</v>
      </c>
      <c r="I130">
        <v>1</v>
      </c>
      <c r="J130" t="s">
        <v>194</v>
      </c>
      <c r="K130" s="39" t="b">
        <v>1</v>
      </c>
      <c r="L130" t="s">
        <v>199</v>
      </c>
    </row>
    <row r="131" spans="1:12" x14ac:dyDescent="0.3">
      <c r="A131" t="s">
        <v>69</v>
      </c>
      <c r="B131" s="57" t="s">
        <v>70</v>
      </c>
      <c r="C131">
        <v>2025</v>
      </c>
      <c r="D131" t="s">
        <v>46</v>
      </c>
      <c r="E131" t="s">
        <v>198</v>
      </c>
      <c r="F131">
        <v>89</v>
      </c>
      <c r="G131" t="s">
        <v>193</v>
      </c>
      <c r="H131" t="b">
        <v>1</v>
      </c>
      <c r="I131">
        <v>1</v>
      </c>
      <c r="J131" t="s">
        <v>194</v>
      </c>
      <c r="K131" s="39" t="b">
        <v>1</v>
      </c>
      <c r="L131" t="s">
        <v>199</v>
      </c>
    </row>
    <row r="132" spans="1:12" x14ac:dyDescent="0.3">
      <c r="A132" t="s">
        <v>69</v>
      </c>
      <c r="B132" s="57" t="s">
        <v>70</v>
      </c>
      <c r="C132">
        <v>2025</v>
      </c>
      <c r="D132" t="s">
        <v>47</v>
      </c>
      <c r="E132" t="s">
        <v>198</v>
      </c>
      <c r="F132">
        <v>99</v>
      </c>
      <c r="G132" t="s">
        <v>193</v>
      </c>
      <c r="H132" t="b">
        <v>1</v>
      </c>
      <c r="I132">
        <v>1</v>
      </c>
      <c r="J132" t="s">
        <v>194</v>
      </c>
      <c r="K132" s="39" t="b">
        <v>1</v>
      </c>
      <c r="L132" t="s">
        <v>199</v>
      </c>
    </row>
    <row r="133" spans="1:12" x14ac:dyDescent="0.3">
      <c r="A133" t="s">
        <v>69</v>
      </c>
      <c r="B133" s="57" t="s">
        <v>70</v>
      </c>
      <c r="C133">
        <v>2025</v>
      </c>
      <c r="D133" t="s">
        <v>48</v>
      </c>
      <c r="E133" t="s">
        <v>198</v>
      </c>
      <c r="F133">
        <v>57</v>
      </c>
      <c r="G133" t="s">
        <v>193</v>
      </c>
      <c r="H133" t="b">
        <v>1</v>
      </c>
      <c r="I133">
        <v>1</v>
      </c>
      <c r="J133" t="s">
        <v>194</v>
      </c>
      <c r="K133" s="39" t="b">
        <v>1</v>
      </c>
      <c r="L133" t="s">
        <v>199</v>
      </c>
    </row>
    <row r="134" spans="1:12" x14ac:dyDescent="0.3">
      <c r="A134" t="s">
        <v>69</v>
      </c>
      <c r="B134" s="57" t="s">
        <v>70</v>
      </c>
      <c r="C134">
        <v>2025</v>
      </c>
      <c r="D134" t="s">
        <v>49</v>
      </c>
      <c r="E134" t="s">
        <v>198</v>
      </c>
      <c r="F134">
        <v>92</v>
      </c>
      <c r="G134" t="s">
        <v>193</v>
      </c>
      <c r="H134" t="b">
        <v>1</v>
      </c>
      <c r="I134">
        <v>1</v>
      </c>
      <c r="J134" t="s">
        <v>194</v>
      </c>
      <c r="K134" s="39" t="b">
        <v>1</v>
      </c>
      <c r="L134" t="s">
        <v>199</v>
      </c>
    </row>
    <row r="135" spans="1:12" x14ac:dyDescent="0.3">
      <c r="A135" t="s">
        <v>69</v>
      </c>
      <c r="B135" s="57" t="s">
        <v>70</v>
      </c>
      <c r="C135">
        <v>2025</v>
      </c>
      <c r="D135" t="s">
        <v>50</v>
      </c>
      <c r="E135" t="s">
        <v>198</v>
      </c>
      <c r="F135">
        <v>28</v>
      </c>
      <c r="G135" t="s">
        <v>193</v>
      </c>
      <c r="H135" t="b">
        <v>1</v>
      </c>
      <c r="I135">
        <v>1</v>
      </c>
      <c r="J135" t="s">
        <v>194</v>
      </c>
      <c r="K135" s="39" t="b">
        <v>1</v>
      </c>
      <c r="L135" t="s">
        <v>199</v>
      </c>
    </row>
    <row r="136" spans="1:12" x14ac:dyDescent="0.3">
      <c r="A136" t="s">
        <v>69</v>
      </c>
      <c r="B136" s="57" t="s">
        <v>70</v>
      </c>
      <c r="C136">
        <v>2025</v>
      </c>
      <c r="D136" t="s">
        <v>51</v>
      </c>
      <c r="E136" t="s">
        <v>198</v>
      </c>
      <c r="F136">
        <v>38</v>
      </c>
      <c r="G136" t="s">
        <v>193</v>
      </c>
      <c r="H136" t="b">
        <v>1</v>
      </c>
      <c r="I136">
        <v>1</v>
      </c>
      <c r="J136" t="s">
        <v>194</v>
      </c>
      <c r="K136" s="39" t="b">
        <v>1</v>
      </c>
      <c r="L136" t="s">
        <v>199</v>
      </c>
    </row>
    <row r="137" spans="1:12" x14ac:dyDescent="0.3">
      <c r="A137" t="s">
        <v>69</v>
      </c>
      <c r="B137" s="57" t="s">
        <v>70</v>
      </c>
      <c r="C137">
        <v>2025</v>
      </c>
      <c r="D137" t="s">
        <v>52</v>
      </c>
      <c r="E137" t="s">
        <v>198</v>
      </c>
      <c r="F137">
        <v>36</v>
      </c>
      <c r="G137" t="s">
        <v>193</v>
      </c>
      <c r="H137" t="b">
        <v>1</v>
      </c>
      <c r="I137">
        <v>1</v>
      </c>
      <c r="J137" t="s">
        <v>194</v>
      </c>
      <c r="K137" s="39" t="b">
        <v>1</v>
      </c>
      <c r="L137" t="s">
        <v>199</v>
      </c>
    </row>
    <row r="138" spans="1:12" x14ac:dyDescent="0.3">
      <c r="A138" t="s">
        <v>69</v>
      </c>
      <c r="B138" s="57" t="s">
        <v>70</v>
      </c>
      <c r="C138">
        <v>2025</v>
      </c>
      <c r="D138" t="s">
        <v>53</v>
      </c>
      <c r="E138" t="s">
        <v>198</v>
      </c>
      <c r="F138">
        <v>56</v>
      </c>
      <c r="G138" t="s">
        <v>193</v>
      </c>
      <c r="H138" t="b">
        <v>1</v>
      </c>
      <c r="I138">
        <v>1</v>
      </c>
      <c r="J138" t="s">
        <v>194</v>
      </c>
      <c r="K138" s="39" t="b">
        <v>1</v>
      </c>
      <c r="L138" t="s">
        <v>199</v>
      </c>
    </row>
    <row r="139" spans="1:12" x14ac:dyDescent="0.3">
      <c r="A139" t="s">
        <v>69</v>
      </c>
      <c r="B139" s="57" t="s">
        <v>70</v>
      </c>
      <c r="C139">
        <v>2025</v>
      </c>
      <c r="D139" t="s">
        <v>54</v>
      </c>
      <c r="E139" t="s">
        <v>198</v>
      </c>
      <c r="F139">
        <v>54</v>
      </c>
      <c r="G139" t="s">
        <v>193</v>
      </c>
      <c r="H139" t="b">
        <v>1</v>
      </c>
      <c r="I139">
        <v>1</v>
      </c>
      <c r="J139" t="s">
        <v>194</v>
      </c>
      <c r="K139" s="39" t="b">
        <v>1</v>
      </c>
      <c r="L139" t="s">
        <v>199</v>
      </c>
    </row>
    <row r="140" spans="1:12" x14ac:dyDescent="0.3">
      <c r="A140" t="s">
        <v>69</v>
      </c>
      <c r="B140" s="57" t="s">
        <v>70</v>
      </c>
      <c r="C140">
        <v>2025</v>
      </c>
      <c r="D140" t="s">
        <v>55</v>
      </c>
      <c r="E140" t="s">
        <v>198</v>
      </c>
      <c r="F140">
        <v>20</v>
      </c>
      <c r="G140" t="s">
        <v>193</v>
      </c>
      <c r="H140" t="b">
        <v>1</v>
      </c>
      <c r="I140">
        <v>1</v>
      </c>
      <c r="J140" t="s">
        <v>194</v>
      </c>
      <c r="K140" s="39" t="b">
        <v>1</v>
      </c>
      <c r="L140" t="s">
        <v>199</v>
      </c>
    </row>
    <row r="141" spans="1:12" x14ac:dyDescent="0.3">
      <c r="A141" t="s">
        <v>69</v>
      </c>
      <c r="B141" s="57" t="s">
        <v>70</v>
      </c>
      <c r="C141">
        <v>2025</v>
      </c>
      <c r="D141" t="s">
        <v>56</v>
      </c>
      <c r="E141" t="s">
        <v>198</v>
      </c>
      <c r="F141">
        <v>21</v>
      </c>
      <c r="G141" t="s">
        <v>193</v>
      </c>
      <c r="H141" t="b">
        <v>1</v>
      </c>
      <c r="I141">
        <v>1</v>
      </c>
      <c r="J141" t="s">
        <v>194</v>
      </c>
      <c r="K141" s="39" t="b">
        <v>1</v>
      </c>
      <c r="L141" t="s">
        <v>199</v>
      </c>
    </row>
    <row r="142" spans="1:12" x14ac:dyDescent="0.3">
      <c r="B142" s="57"/>
      <c r="K142" s="39"/>
    </row>
    <row r="143" spans="1:12" x14ac:dyDescent="0.3">
      <c r="A143" t="s">
        <v>69</v>
      </c>
      <c r="B143" s="57" t="s">
        <v>70</v>
      </c>
      <c r="C143">
        <v>2025</v>
      </c>
      <c r="D143" t="s">
        <v>2</v>
      </c>
      <c r="E143" t="s">
        <v>200</v>
      </c>
      <c r="F143">
        <v>19</v>
      </c>
      <c r="G143" t="s">
        <v>193</v>
      </c>
      <c r="H143" t="b">
        <v>1</v>
      </c>
      <c r="I143">
        <v>1</v>
      </c>
      <c r="J143" t="s">
        <v>194</v>
      </c>
      <c r="K143" s="39" t="b">
        <v>1</v>
      </c>
      <c r="L143" t="s">
        <v>199</v>
      </c>
    </row>
    <row r="144" spans="1:12" x14ac:dyDescent="0.3">
      <c r="A144" t="s">
        <v>69</v>
      </c>
      <c r="B144" s="57" t="s">
        <v>70</v>
      </c>
      <c r="C144">
        <v>2025</v>
      </c>
      <c r="D144" t="s">
        <v>46</v>
      </c>
      <c r="E144" t="s">
        <v>200</v>
      </c>
      <c r="F144">
        <v>50</v>
      </c>
      <c r="G144" t="s">
        <v>193</v>
      </c>
      <c r="H144" t="b">
        <v>1</v>
      </c>
      <c r="I144">
        <v>1</v>
      </c>
      <c r="J144" t="s">
        <v>194</v>
      </c>
      <c r="K144" s="39" t="b">
        <v>1</v>
      </c>
      <c r="L144" t="s">
        <v>199</v>
      </c>
    </row>
    <row r="145" spans="1:12" x14ac:dyDescent="0.3">
      <c r="A145" t="s">
        <v>69</v>
      </c>
      <c r="B145" s="57" t="s">
        <v>70</v>
      </c>
      <c r="C145">
        <v>2025</v>
      </c>
      <c r="D145" t="s">
        <v>47</v>
      </c>
      <c r="E145" t="s">
        <v>200</v>
      </c>
      <c r="F145">
        <v>50</v>
      </c>
      <c r="G145" t="s">
        <v>193</v>
      </c>
      <c r="H145" t="b">
        <v>1</v>
      </c>
      <c r="I145">
        <v>1</v>
      </c>
      <c r="J145" t="s">
        <v>194</v>
      </c>
      <c r="K145" s="39" t="b">
        <v>1</v>
      </c>
      <c r="L145" t="s">
        <v>199</v>
      </c>
    </row>
    <row r="146" spans="1:12" x14ac:dyDescent="0.3">
      <c r="A146" t="s">
        <v>69</v>
      </c>
      <c r="B146" s="57" t="s">
        <v>70</v>
      </c>
      <c r="C146">
        <v>2025</v>
      </c>
      <c r="D146" t="s">
        <v>48</v>
      </c>
      <c r="E146" t="s">
        <v>200</v>
      </c>
      <c r="F146">
        <v>98</v>
      </c>
      <c r="G146" t="s">
        <v>193</v>
      </c>
      <c r="H146" t="b">
        <v>1</v>
      </c>
      <c r="I146">
        <v>1</v>
      </c>
      <c r="J146" t="s">
        <v>194</v>
      </c>
      <c r="K146" s="39" t="b">
        <v>1</v>
      </c>
      <c r="L146" t="s">
        <v>199</v>
      </c>
    </row>
    <row r="147" spans="1:12" x14ac:dyDescent="0.3">
      <c r="A147" t="s">
        <v>69</v>
      </c>
      <c r="B147" s="57" t="s">
        <v>70</v>
      </c>
      <c r="C147">
        <v>2025</v>
      </c>
      <c r="D147" t="s">
        <v>49</v>
      </c>
      <c r="E147" t="s">
        <v>200</v>
      </c>
      <c r="F147">
        <v>13</v>
      </c>
      <c r="G147" t="s">
        <v>193</v>
      </c>
      <c r="H147" t="b">
        <v>1</v>
      </c>
      <c r="I147">
        <v>1</v>
      </c>
      <c r="J147" t="s">
        <v>194</v>
      </c>
      <c r="K147" s="39" t="b">
        <v>1</v>
      </c>
      <c r="L147" t="s">
        <v>199</v>
      </c>
    </row>
    <row r="148" spans="1:12" x14ac:dyDescent="0.3">
      <c r="A148" t="s">
        <v>69</v>
      </c>
      <c r="B148" s="57" t="s">
        <v>70</v>
      </c>
      <c r="C148">
        <v>2025</v>
      </c>
      <c r="D148" t="s">
        <v>50</v>
      </c>
      <c r="E148" t="s">
        <v>200</v>
      </c>
      <c r="F148">
        <v>50</v>
      </c>
      <c r="G148" t="s">
        <v>193</v>
      </c>
      <c r="H148" t="b">
        <v>1</v>
      </c>
      <c r="I148">
        <v>1</v>
      </c>
      <c r="J148" t="s">
        <v>194</v>
      </c>
      <c r="K148" s="39" t="b">
        <v>1</v>
      </c>
      <c r="L148" t="s">
        <v>199</v>
      </c>
    </row>
    <row r="149" spans="1:12" x14ac:dyDescent="0.3">
      <c r="A149" t="s">
        <v>69</v>
      </c>
      <c r="B149" s="57" t="s">
        <v>70</v>
      </c>
      <c r="C149">
        <v>2025</v>
      </c>
      <c r="D149" t="s">
        <v>51</v>
      </c>
      <c r="E149" t="s">
        <v>200</v>
      </c>
      <c r="F149">
        <v>31</v>
      </c>
      <c r="G149" t="s">
        <v>193</v>
      </c>
      <c r="H149" t="b">
        <v>1</v>
      </c>
      <c r="I149">
        <v>1</v>
      </c>
      <c r="J149" t="s">
        <v>194</v>
      </c>
      <c r="K149" s="39" t="b">
        <v>1</v>
      </c>
      <c r="L149" t="s">
        <v>199</v>
      </c>
    </row>
    <row r="150" spans="1:12" x14ac:dyDescent="0.3">
      <c r="A150" t="s">
        <v>69</v>
      </c>
      <c r="B150" s="57" t="s">
        <v>70</v>
      </c>
      <c r="C150">
        <v>2025</v>
      </c>
      <c r="D150" t="s">
        <v>52</v>
      </c>
      <c r="E150" t="s">
        <v>200</v>
      </c>
      <c r="F150">
        <v>93</v>
      </c>
      <c r="G150" t="s">
        <v>193</v>
      </c>
      <c r="H150" t="b">
        <v>1</v>
      </c>
      <c r="I150">
        <v>1</v>
      </c>
      <c r="J150" t="s">
        <v>194</v>
      </c>
      <c r="K150" s="39" t="b">
        <v>1</v>
      </c>
      <c r="L150" t="s">
        <v>199</v>
      </c>
    </row>
    <row r="151" spans="1:12" x14ac:dyDescent="0.3">
      <c r="A151" t="s">
        <v>69</v>
      </c>
      <c r="B151" s="57" t="s">
        <v>70</v>
      </c>
      <c r="C151">
        <v>2025</v>
      </c>
      <c r="D151" t="s">
        <v>53</v>
      </c>
      <c r="E151" t="s">
        <v>200</v>
      </c>
      <c r="F151">
        <v>87</v>
      </c>
      <c r="G151" t="s">
        <v>193</v>
      </c>
      <c r="H151" t="b">
        <v>1</v>
      </c>
      <c r="I151">
        <v>1</v>
      </c>
      <c r="J151" t="s">
        <v>194</v>
      </c>
      <c r="K151" s="39" t="b">
        <v>1</v>
      </c>
      <c r="L151" t="s">
        <v>199</v>
      </c>
    </row>
    <row r="152" spans="1:12" x14ac:dyDescent="0.3">
      <c r="A152" t="s">
        <v>69</v>
      </c>
      <c r="B152" s="57" t="s">
        <v>70</v>
      </c>
      <c r="C152">
        <v>2025</v>
      </c>
      <c r="D152" t="s">
        <v>54</v>
      </c>
      <c r="E152" t="s">
        <v>200</v>
      </c>
      <c r="F152">
        <v>57</v>
      </c>
      <c r="G152" t="s">
        <v>193</v>
      </c>
      <c r="H152" t="b">
        <v>1</v>
      </c>
      <c r="I152">
        <v>1</v>
      </c>
      <c r="J152" t="s">
        <v>194</v>
      </c>
      <c r="K152" s="39" t="b">
        <v>1</v>
      </c>
      <c r="L152" t="s">
        <v>199</v>
      </c>
    </row>
    <row r="153" spans="1:12" x14ac:dyDescent="0.3">
      <c r="A153" t="s">
        <v>69</v>
      </c>
      <c r="B153" s="57" t="s">
        <v>70</v>
      </c>
      <c r="C153">
        <v>2025</v>
      </c>
      <c r="D153" t="s">
        <v>55</v>
      </c>
      <c r="E153" t="s">
        <v>200</v>
      </c>
      <c r="F153">
        <v>80</v>
      </c>
      <c r="G153" t="s">
        <v>193</v>
      </c>
      <c r="H153" t="b">
        <v>1</v>
      </c>
      <c r="I153">
        <v>1</v>
      </c>
      <c r="J153" t="s">
        <v>194</v>
      </c>
      <c r="K153" s="39" t="b">
        <v>1</v>
      </c>
      <c r="L153" t="s">
        <v>199</v>
      </c>
    </row>
    <row r="154" spans="1:12" x14ac:dyDescent="0.3">
      <c r="A154" t="s">
        <v>69</v>
      </c>
      <c r="B154" s="57" t="s">
        <v>70</v>
      </c>
      <c r="C154">
        <v>2025</v>
      </c>
      <c r="D154" t="s">
        <v>56</v>
      </c>
      <c r="E154" t="s">
        <v>200</v>
      </c>
      <c r="F154">
        <v>14</v>
      </c>
      <c r="G154" t="s">
        <v>193</v>
      </c>
      <c r="H154" t="b">
        <v>1</v>
      </c>
      <c r="I154">
        <v>1</v>
      </c>
      <c r="J154" t="s">
        <v>194</v>
      </c>
      <c r="K154" s="39" t="b">
        <v>1</v>
      </c>
      <c r="L154" t="s">
        <v>199</v>
      </c>
    </row>
    <row r="161" spans="4:9" x14ac:dyDescent="0.3">
      <c r="D161">
        <v>60</v>
      </c>
      <c r="F161">
        <v>23</v>
      </c>
      <c r="I161">
        <v>58</v>
      </c>
    </row>
    <row r="162" spans="4:9" x14ac:dyDescent="0.3">
      <c r="D162">
        <v>52</v>
      </c>
      <c r="F162">
        <v>47</v>
      </c>
      <c r="I162">
        <v>59</v>
      </c>
    </row>
    <row r="163" spans="4:9" x14ac:dyDescent="0.3">
      <c r="D163">
        <v>58</v>
      </c>
      <c r="F163">
        <v>25</v>
      </c>
      <c r="I163">
        <v>31</v>
      </c>
    </row>
    <row r="164" spans="4:9" x14ac:dyDescent="0.3">
      <c r="D164">
        <v>91</v>
      </c>
      <c r="F164">
        <v>15</v>
      </c>
      <c r="I164">
        <v>28</v>
      </c>
    </row>
    <row r="165" spans="4:9" x14ac:dyDescent="0.3">
      <c r="D165">
        <v>47</v>
      </c>
      <c r="F165">
        <v>27</v>
      </c>
      <c r="I165">
        <v>52</v>
      </c>
    </row>
    <row r="166" spans="4:9" x14ac:dyDescent="0.3">
      <c r="D166">
        <v>86</v>
      </c>
      <c r="F166">
        <v>87</v>
      </c>
      <c r="I166">
        <v>95</v>
      </c>
    </row>
    <row r="167" spans="4:9" x14ac:dyDescent="0.3">
      <c r="D167">
        <v>48</v>
      </c>
      <c r="F167">
        <v>73</v>
      </c>
      <c r="I167">
        <v>65</v>
      </c>
    </row>
    <row r="168" spans="4:9" x14ac:dyDescent="0.3">
      <c r="D168">
        <v>11</v>
      </c>
      <c r="F168">
        <v>19</v>
      </c>
      <c r="I168">
        <v>60</v>
      </c>
    </row>
    <row r="169" spans="4:9" x14ac:dyDescent="0.3">
      <c r="D169">
        <v>47</v>
      </c>
      <c r="F169">
        <v>88</v>
      </c>
      <c r="I169">
        <v>61</v>
      </c>
    </row>
    <row r="170" spans="4:9" x14ac:dyDescent="0.3">
      <c r="D170">
        <v>39</v>
      </c>
      <c r="I170">
        <v>96</v>
      </c>
    </row>
    <row r="171" spans="4:9" x14ac:dyDescent="0.3">
      <c r="D171">
        <v>57</v>
      </c>
      <c r="I171">
        <v>97</v>
      </c>
    </row>
    <row r="172" spans="4:9" x14ac:dyDescent="0.3">
      <c r="D172">
        <v>36</v>
      </c>
      <c r="I172">
        <v>54</v>
      </c>
    </row>
    <row r="173" spans="4:9" x14ac:dyDescent="0.3">
      <c r="D173">
        <v>94</v>
      </c>
      <c r="I173">
        <v>19</v>
      </c>
    </row>
    <row r="174" spans="4:9" x14ac:dyDescent="0.3">
      <c r="D174">
        <v>74</v>
      </c>
      <c r="I174">
        <v>79</v>
      </c>
    </row>
    <row r="175" spans="4:9" x14ac:dyDescent="0.3">
      <c r="D175">
        <v>79</v>
      </c>
      <c r="I175">
        <v>79</v>
      </c>
    </row>
    <row r="176" spans="4:9" x14ac:dyDescent="0.3">
      <c r="D176">
        <v>82</v>
      </c>
      <c r="I176">
        <v>24</v>
      </c>
    </row>
    <row r="177" spans="4:9" x14ac:dyDescent="0.3">
      <c r="D177">
        <v>82</v>
      </c>
      <c r="I177">
        <v>59</v>
      </c>
    </row>
    <row r="178" spans="4:9" x14ac:dyDescent="0.3">
      <c r="D178">
        <v>59</v>
      </c>
      <c r="I178">
        <v>84</v>
      </c>
    </row>
    <row r="179" spans="4:9" x14ac:dyDescent="0.3">
      <c r="D179">
        <v>59</v>
      </c>
      <c r="I179">
        <v>67</v>
      </c>
    </row>
    <row r="180" spans="4:9" x14ac:dyDescent="0.3">
      <c r="D180">
        <v>72</v>
      </c>
      <c r="I180">
        <v>75</v>
      </c>
    </row>
    <row r="181" spans="4:9" x14ac:dyDescent="0.3">
      <c r="D181">
        <v>30</v>
      </c>
      <c r="I181">
        <v>79</v>
      </c>
    </row>
    <row r="182" spans="4:9" x14ac:dyDescent="0.3">
      <c r="D182">
        <v>62</v>
      </c>
      <c r="I182">
        <v>67</v>
      </c>
    </row>
    <row r="183" spans="4:9" x14ac:dyDescent="0.3">
      <c r="D183">
        <v>40</v>
      </c>
      <c r="I183">
        <v>53</v>
      </c>
    </row>
    <row r="184" spans="4:9" x14ac:dyDescent="0.3">
      <c r="D184">
        <v>49</v>
      </c>
      <c r="I184">
        <v>27</v>
      </c>
    </row>
    <row r="185" spans="4:9" x14ac:dyDescent="0.3">
      <c r="D185">
        <v>99</v>
      </c>
      <c r="I185">
        <v>81</v>
      </c>
    </row>
    <row r="186" spans="4:9" x14ac:dyDescent="0.3">
      <c r="D186">
        <v>90</v>
      </c>
      <c r="I186">
        <v>50</v>
      </c>
    </row>
    <row r="187" spans="4:9" x14ac:dyDescent="0.3">
      <c r="D187">
        <v>57</v>
      </c>
      <c r="I187">
        <v>57</v>
      </c>
    </row>
    <row r="188" spans="4:9" x14ac:dyDescent="0.3">
      <c r="D188">
        <v>89</v>
      </c>
      <c r="I188">
        <v>17</v>
      </c>
    </row>
    <row r="189" spans="4:9" x14ac:dyDescent="0.3">
      <c r="D189">
        <v>21</v>
      </c>
      <c r="I189">
        <v>13</v>
      </c>
    </row>
    <row r="190" spans="4:9" x14ac:dyDescent="0.3">
      <c r="D190">
        <v>73</v>
      </c>
      <c r="I190">
        <v>85</v>
      </c>
    </row>
    <row r="191" spans="4:9" x14ac:dyDescent="0.3">
      <c r="D191">
        <v>53</v>
      </c>
      <c r="I191">
        <v>85</v>
      </c>
    </row>
    <row r="192" spans="4:9" x14ac:dyDescent="0.3">
      <c r="D192">
        <v>39</v>
      </c>
      <c r="I192">
        <v>19</v>
      </c>
    </row>
    <row r="193" spans="4:9" x14ac:dyDescent="0.3">
      <c r="D193">
        <v>95</v>
      </c>
      <c r="I193">
        <v>68</v>
      </c>
    </row>
    <row r="194" spans="4:9" x14ac:dyDescent="0.3">
      <c r="D194">
        <v>22</v>
      </c>
      <c r="I194">
        <v>55</v>
      </c>
    </row>
    <row r="195" spans="4:9" x14ac:dyDescent="0.3">
      <c r="D195">
        <v>97</v>
      </c>
      <c r="I195">
        <v>23</v>
      </c>
    </row>
    <row r="196" spans="4:9" x14ac:dyDescent="0.3">
      <c r="D196">
        <v>15</v>
      </c>
      <c r="I196">
        <v>70</v>
      </c>
    </row>
    <row r="197" spans="4:9" x14ac:dyDescent="0.3">
      <c r="I197">
        <v>41</v>
      </c>
    </row>
    <row r="198" spans="4:9" x14ac:dyDescent="0.3">
      <c r="I198">
        <v>10</v>
      </c>
    </row>
    <row r="199" spans="4:9" x14ac:dyDescent="0.3">
      <c r="I199">
        <v>92</v>
      </c>
    </row>
    <row r="200" spans="4:9" x14ac:dyDescent="0.3">
      <c r="I200">
        <v>31</v>
      </c>
    </row>
    <row r="201" spans="4:9" x14ac:dyDescent="0.3">
      <c r="I201">
        <v>21</v>
      </c>
    </row>
    <row r="202" spans="4:9" x14ac:dyDescent="0.3">
      <c r="I202">
        <v>61</v>
      </c>
    </row>
    <row r="203" spans="4:9" x14ac:dyDescent="0.3">
      <c r="I203">
        <v>41</v>
      </c>
    </row>
    <row r="204" spans="4:9" x14ac:dyDescent="0.3">
      <c r="I204">
        <v>38</v>
      </c>
    </row>
    <row r="205" spans="4:9" x14ac:dyDescent="0.3">
      <c r="I205">
        <v>43</v>
      </c>
    </row>
    <row r="206" spans="4:9" x14ac:dyDescent="0.3">
      <c r="I206">
        <v>83</v>
      </c>
    </row>
    <row r="207" spans="4:9" x14ac:dyDescent="0.3">
      <c r="I207">
        <v>88</v>
      </c>
    </row>
    <row r="208" spans="4:9" x14ac:dyDescent="0.3">
      <c r="I208">
        <v>20</v>
      </c>
    </row>
    <row r="209" spans="9:9" x14ac:dyDescent="0.3">
      <c r="I209">
        <v>57</v>
      </c>
    </row>
    <row r="210" spans="9:9" x14ac:dyDescent="0.3">
      <c r="I210">
        <v>65</v>
      </c>
    </row>
    <row r="211" spans="9:9" x14ac:dyDescent="0.3">
      <c r="I211">
        <v>65</v>
      </c>
    </row>
    <row r="212" spans="9:9" x14ac:dyDescent="0.3">
      <c r="I212">
        <v>26</v>
      </c>
    </row>
    <row r="213" spans="9:9" x14ac:dyDescent="0.3">
      <c r="I213">
        <v>87</v>
      </c>
    </row>
    <row r="214" spans="9:9" x14ac:dyDescent="0.3">
      <c r="I214">
        <v>40</v>
      </c>
    </row>
    <row r="215" spans="9:9" x14ac:dyDescent="0.3">
      <c r="I215">
        <v>78</v>
      </c>
    </row>
    <row r="216" spans="9:9" x14ac:dyDescent="0.3">
      <c r="I216">
        <v>45</v>
      </c>
    </row>
    <row r="217" spans="9:9" x14ac:dyDescent="0.3">
      <c r="I217">
        <v>73</v>
      </c>
    </row>
    <row r="218" spans="9:9" x14ac:dyDescent="0.3">
      <c r="I218">
        <v>26</v>
      </c>
    </row>
    <row r="219" spans="9:9" x14ac:dyDescent="0.3">
      <c r="I219">
        <v>50</v>
      </c>
    </row>
    <row r="220" spans="9:9" x14ac:dyDescent="0.3">
      <c r="I220">
        <v>78</v>
      </c>
    </row>
    <row r="221" spans="9:9" x14ac:dyDescent="0.3">
      <c r="I221">
        <v>87</v>
      </c>
    </row>
    <row r="222" spans="9:9" x14ac:dyDescent="0.3">
      <c r="I222">
        <v>89</v>
      </c>
    </row>
    <row r="223" spans="9:9" x14ac:dyDescent="0.3">
      <c r="I223">
        <v>99</v>
      </c>
    </row>
    <row r="224" spans="9:9" x14ac:dyDescent="0.3">
      <c r="I224">
        <v>57</v>
      </c>
    </row>
    <row r="225" spans="9:9" x14ac:dyDescent="0.3">
      <c r="I225">
        <v>92</v>
      </c>
    </row>
    <row r="226" spans="9:9" x14ac:dyDescent="0.3">
      <c r="I226">
        <v>28</v>
      </c>
    </row>
    <row r="227" spans="9:9" x14ac:dyDescent="0.3">
      <c r="I227">
        <v>38</v>
      </c>
    </row>
    <row r="228" spans="9:9" x14ac:dyDescent="0.3">
      <c r="I228">
        <v>36</v>
      </c>
    </row>
    <row r="229" spans="9:9" x14ac:dyDescent="0.3">
      <c r="I229">
        <v>56</v>
      </c>
    </row>
    <row r="230" spans="9:9" x14ac:dyDescent="0.3">
      <c r="I230">
        <v>54</v>
      </c>
    </row>
    <row r="231" spans="9:9" x14ac:dyDescent="0.3">
      <c r="I231">
        <v>20</v>
      </c>
    </row>
    <row r="232" spans="9:9" x14ac:dyDescent="0.3">
      <c r="I232">
        <v>21</v>
      </c>
    </row>
    <row r="233" spans="9:9" x14ac:dyDescent="0.3">
      <c r="I233">
        <v>19</v>
      </c>
    </row>
    <row r="234" spans="9:9" x14ac:dyDescent="0.3">
      <c r="I234">
        <v>50</v>
      </c>
    </row>
    <row r="235" spans="9:9" x14ac:dyDescent="0.3">
      <c r="I235">
        <v>50</v>
      </c>
    </row>
    <row r="236" spans="9:9" x14ac:dyDescent="0.3">
      <c r="I236">
        <v>98</v>
      </c>
    </row>
    <row r="237" spans="9:9" x14ac:dyDescent="0.3">
      <c r="I237">
        <v>13</v>
      </c>
    </row>
    <row r="238" spans="9:9" x14ac:dyDescent="0.3">
      <c r="I238">
        <v>50</v>
      </c>
    </row>
    <row r="239" spans="9:9" x14ac:dyDescent="0.3">
      <c r="I239">
        <v>31</v>
      </c>
    </row>
    <row r="240" spans="9:9" x14ac:dyDescent="0.3">
      <c r="I240">
        <v>93</v>
      </c>
    </row>
    <row r="241" spans="9:9" x14ac:dyDescent="0.3">
      <c r="I241">
        <v>87</v>
      </c>
    </row>
    <row r="242" spans="9:9" x14ac:dyDescent="0.3">
      <c r="I242">
        <v>57</v>
      </c>
    </row>
    <row r="243" spans="9:9" x14ac:dyDescent="0.3">
      <c r="I243">
        <v>80</v>
      </c>
    </row>
    <row r="244" spans="9:9" x14ac:dyDescent="0.3">
      <c r="I244">
        <v>14</v>
      </c>
    </row>
  </sheetData>
  <mergeCells count="6">
    <mergeCell ref="J6:K6"/>
    <mergeCell ref="I2:K2"/>
    <mergeCell ref="I3:K3"/>
    <mergeCell ref="L3:M3"/>
    <mergeCell ref="J4:K4"/>
    <mergeCell ref="J5:K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BDFF-FCFB-4D18-B0AC-4322F0EBAD35}">
  <dimension ref="A1:M546"/>
  <sheetViews>
    <sheetView topLeftCell="A5" workbookViewId="0">
      <selection activeCell="I32" sqref="I32"/>
    </sheetView>
  </sheetViews>
  <sheetFormatPr defaultRowHeight="14.4" x14ac:dyDescent="0.3"/>
  <cols>
    <col min="1" max="1" width="13" customWidth="1"/>
    <col min="2" max="2" width="16.5546875" customWidth="1"/>
    <col min="3" max="3" width="15" customWidth="1"/>
    <col min="4" max="4" width="13.88671875" customWidth="1"/>
    <col min="5" max="5" width="14.5546875" customWidth="1"/>
    <col min="6" max="6" width="11.6640625" customWidth="1"/>
    <col min="7" max="7" width="13.33203125" customWidth="1"/>
    <col min="8" max="8" width="12.44140625" customWidth="1"/>
    <col min="9" max="9" width="11.109375" customWidth="1"/>
    <col min="10" max="10" width="13.109375" customWidth="1"/>
    <col min="11" max="11" width="13" customWidth="1"/>
    <col min="12" max="12" width="14.21875" customWidth="1"/>
    <col min="13" max="13" width="13.44140625" customWidth="1"/>
  </cols>
  <sheetData>
    <row r="1" spans="1:13" x14ac:dyDescent="0.3">
      <c r="A1" s="67" t="s">
        <v>25</v>
      </c>
      <c r="B1" s="67" t="s">
        <v>26</v>
      </c>
    </row>
    <row r="2" spans="1:13" x14ac:dyDescent="0.3">
      <c r="A2" s="67" t="s">
        <v>27</v>
      </c>
      <c r="B2" s="67" t="s">
        <v>28</v>
      </c>
      <c r="I2" s="77" t="s">
        <v>220</v>
      </c>
      <c r="J2" s="79"/>
      <c r="K2" s="78"/>
      <c r="L2" s="1">
        <f>SUM(F12:F363)</f>
        <v>21951</v>
      </c>
      <c r="M2" s="1" t="s">
        <v>219</v>
      </c>
    </row>
    <row r="3" spans="1:13" x14ac:dyDescent="0.3">
      <c r="A3" s="67" t="s">
        <v>29</v>
      </c>
      <c r="B3" s="2">
        <v>45870</v>
      </c>
      <c r="I3" s="77"/>
      <c r="J3" s="79"/>
      <c r="K3" s="78"/>
      <c r="L3" s="77"/>
      <c r="M3" s="78"/>
    </row>
    <row r="4" spans="1:13" x14ac:dyDescent="0.3">
      <c r="A4" s="67" t="s">
        <v>30</v>
      </c>
      <c r="B4" s="1" t="s">
        <v>31</v>
      </c>
      <c r="I4" s="1"/>
      <c r="J4" s="77" t="s">
        <v>216</v>
      </c>
      <c r="K4" s="78"/>
      <c r="L4" s="1">
        <f>SUM(B366:B546)</f>
        <v>11809</v>
      </c>
      <c r="M4" s="1" t="s">
        <v>219</v>
      </c>
    </row>
    <row r="5" spans="1:13" x14ac:dyDescent="0.3">
      <c r="A5" s="67" t="s">
        <v>32</v>
      </c>
      <c r="B5" s="1" t="s">
        <v>33</v>
      </c>
      <c r="I5" s="1"/>
      <c r="J5" s="77" t="s">
        <v>221</v>
      </c>
      <c r="K5" s="78"/>
      <c r="L5" s="1">
        <f>SUM(E366:E437)</f>
        <v>5058</v>
      </c>
      <c r="M5" s="1" t="s">
        <v>219</v>
      </c>
    </row>
    <row r="6" spans="1:13" x14ac:dyDescent="0.3">
      <c r="A6" s="67" t="s">
        <v>184</v>
      </c>
      <c r="B6" s="67" t="s">
        <v>185</v>
      </c>
      <c r="I6" s="1"/>
      <c r="J6" s="77" t="s">
        <v>222</v>
      </c>
      <c r="K6" s="78"/>
      <c r="L6" s="1">
        <f>SUM(H366:H402)</f>
        <v>2827</v>
      </c>
      <c r="M6" s="1" t="s">
        <v>219</v>
      </c>
    </row>
    <row r="7" spans="1:13" x14ac:dyDescent="0.3">
      <c r="I7" s="1"/>
      <c r="J7" s="77" t="s">
        <v>223</v>
      </c>
      <c r="K7" s="78"/>
      <c r="L7" s="1">
        <f>SUM(K366:K399)</f>
        <v>2257</v>
      </c>
      <c r="M7" s="1" t="s">
        <v>219</v>
      </c>
    </row>
    <row r="9" spans="1:13" x14ac:dyDescent="0.3">
      <c r="A9" s="1" t="s">
        <v>186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187</v>
      </c>
      <c r="G9" s="1" t="s">
        <v>188</v>
      </c>
      <c r="H9" s="1" t="s">
        <v>43</v>
      </c>
      <c r="I9" s="1" t="s">
        <v>44</v>
      </c>
      <c r="J9" s="1" t="s">
        <v>45</v>
      </c>
      <c r="K9" s="1" t="s">
        <v>189</v>
      </c>
      <c r="L9" s="1" t="s">
        <v>190</v>
      </c>
      <c r="M9" s="1" t="s">
        <v>191</v>
      </c>
    </row>
    <row r="12" spans="1:13" x14ac:dyDescent="0.3">
      <c r="A12" t="s">
        <v>0</v>
      </c>
      <c r="B12" s="25" t="s">
        <v>1</v>
      </c>
      <c r="C12">
        <v>2025</v>
      </c>
      <c r="D12" t="s">
        <v>2</v>
      </c>
      <c r="E12" t="s">
        <v>202</v>
      </c>
      <c r="F12">
        <v>94</v>
      </c>
      <c r="G12" t="s">
        <v>193</v>
      </c>
      <c r="H12" t="b">
        <v>1</v>
      </c>
      <c r="I12">
        <v>1</v>
      </c>
      <c r="J12" t="s">
        <v>194</v>
      </c>
      <c r="K12" s="40" t="b">
        <v>0</v>
      </c>
      <c r="L12" t="s">
        <v>203</v>
      </c>
    </row>
    <row r="13" spans="1:13" x14ac:dyDescent="0.3">
      <c r="A13" t="s">
        <v>0</v>
      </c>
      <c r="B13" s="25" t="s">
        <v>1</v>
      </c>
      <c r="C13">
        <v>2025</v>
      </c>
      <c r="D13" t="s">
        <v>46</v>
      </c>
      <c r="E13" t="s">
        <v>202</v>
      </c>
      <c r="F13">
        <v>88</v>
      </c>
      <c r="G13" t="s">
        <v>193</v>
      </c>
      <c r="H13" t="b">
        <v>1</v>
      </c>
      <c r="I13">
        <v>1</v>
      </c>
      <c r="J13" t="s">
        <v>194</v>
      </c>
      <c r="K13" s="40" t="b">
        <v>0</v>
      </c>
      <c r="L13" t="s">
        <v>203</v>
      </c>
    </row>
    <row r="14" spans="1:13" x14ac:dyDescent="0.3">
      <c r="A14" t="s">
        <v>0</v>
      </c>
      <c r="B14" s="25" t="s">
        <v>1</v>
      </c>
      <c r="C14">
        <v>2025</v>
      </c>
      <c r="D14" t="s">
        <v>47</v>
      </c>
      <c r="E14" t="s">
        <v>202</v>
      </c>
      <c r="F14">
        <v>62</v>
      </c>
      <c r="G14" t="s">
        <v>193</v>
      </c>
      <c r="H14" t="b">
        <v>1</v>
      </c>
      <c r="I14">
        <v>1</v>
      </c>
      <c r="J14" t="s">
        <v>194</v>
      </c>
      <c r="K14" s="40" t="b">
        <v>0</v>
      </c>
      <c r="L14" t="s">
        <v>203</v>
      </c>
    </row>
    <row r="15" spans="1:13" x14ac:dyDescent="0.3">
      <c r="A15" t="s">
        <v>0</v>
      </c>
      <c r="B15" s="25" t="s">
        <v>1</v>
      </c>
      <c r="C15">
        <v>2025</v>
      </c>
      <c r="D15" t="s">
        <v>48</v>
      </c>
      <c r="E15" t="s">
        <v>202</v>
      </c>
      <c r="F15">
        <v>116</v>
      </c>
      <c r="G15" t="s">
        <v>193</v>
      </c>
      <c r="H15" t="b">
        <v>1</v>
      </c>
      <c r="I15">
        <v>1</v>
      </c>
      <c r="J15" t="s">
        <v>194</v>
      </c>
      <c r="K15" s="40" t="b">
        <v>0</v>
      </c>
      <c r="L15" t="s">
        <v>203</v>
      </c>
    </row>
    <row r="16" spans="1:13" x14ac:dyDescent="0.3">
      <c r="A16" t="s">
        <v>0</v>
      </c>
      <c r="B16" s="25" t="s">
        <v>1</v>
      </c>
      <c r="C16">
        <v>2025</v>
      </c>
      <c r="D16" t="s">
        <v>49</v>
      </c>
      <c r="E16" t="s">
        <v>202</v>
      </c>
      <c r="F16">
        <v>62</v>
      </c>
      <c r="G16" t="s">
        <v>193</v>
      </c>
      <c r="H16" t="b">
        <v>1</v>
      </c>
      <c r="I16">
        <v>1</v>
      </c>
      <c r="J16" t="s">
        <v>194</v>
      </c>
      <c r="K16" s="40" t="b">
        <v>0</v>
      </c>
      <c r="L16" t="s">
        <v>203</v>
      </c>
    </row>
    <row r="17" spans="1:12" x14ac:dyDescent="0.3">
      <c r="A17" t="s">
        <v>0</v>
      </c>
      <c r="B17" s="25" t="s">
        <v>1</v>
      </c>
      <c r="C17">
        <v>2025</v>
      </c>
      <c r="D17" t="s">
        <v>50</v>
      </c>
      <c r="E17" t="s">
        <v>202</v>
      </c>
      <c r="F17">
        <v>43</v>
      </c>
      <c r="G17" t="s">
        <v>193</v>
      </c>
      <c r="H17" t="b">
        <v>1</v>
      </c>
      <c r="I17">
        <v>1</v>
      </c>
      <c r="J17" t="s">
        <v>194</v>
      </c>
      <c r="K17" s="40" t="b">
        <v>0</v>
      </c>
      <c r="L17" t="s">
        <v>203</v>
      </c>
    </row>
    <row r="18" spans="1:12" x14ac:dyDescent="0.3">
      <c r="A18" t="s">
        <v>0</v>
      </c>
      <c r="B18" s="25" t="s">
        <v>1</v>
      </c>
      <c r="C18">
        <v>2025</v>
      </c>
      <c r="D18" t="s">
        <v>51</v>
      </c>
      <c r="E18" t="s">
        <v>202</v>
      </c>
      <c r="F18">
        <v>114</v>
      </c>
      <c r="G18" t="s">
        <v>193</v>
      </c>
      <c r="H18" t="b">
        <v>1</v>
      </c>
      <c r="I18">
        <v>1</v>
      </c>
      <c r="J18" t="s">
        <v>194</v>
      </c>
      <c r="K18" s="40" t="b">
        <v>0</v>
      </c>
      <c r="L18" t="s">
        <v>203</v>
      </c>
    </row>
    <row r="19" spans="1:12" x14ac:dyDescent="0.3">
      <c r="A19" t="s">
        <v>0</v>
      </c>
      <c r="B19" s="25" t="s">
        <v>1</v>
      </c>
      <c r="C19">
        <v>2025</v>
      </c>
      <c r="D19" t="s">
        <v>52</v>
      </c>
      <c r="E19" t="s">
        <v>202</v>
      </c>
      <c r="F19">
        <v>72</v>
      </c>
      <c r="G19" t="s">
        <v>193</v>
      </c>
      <c r="H19" t="b">
        <v>1</v>
      </c>
      <c r="I19">
        <v>1</v>
      </c>
      <c r="J19" t="s">
        <v>194</v>
      </c>
      <c r="K19" s="40" t="b">
        <v>0</v>
      </c>
      <c r="L19" t="s">
        <v>203</v>
      </c>
    </row>
    <row r="20" spans="1:12" x14ac:dyDescent="0.3">
      <c r="A20" t="s">
        <v>0</v>
      </c>
      <c r="B20" s="25" t="s">
        <v>1</v>
      </c>
      <c r="C20">
        <v>2025</v>
      </c>
      <c r="D20" t="s">
        <v>53</v>
      </c>
      <c r="E20" t="s">
        <v>202</v>
      </c>
      <c r="F20">
        <v>88</v>
      </c>
      <c r="G20" t="s">
        <v>193</v>
      </c>
      <c r="H20" t="b">
        <v>1</v>
      </c>
      <c r="I20">
        <v>1</v>
      </c>
      <c r="J20" t="s">
        <v>194</v>
      </c>
      <c r="K20" s="40" t="b">
        <v>0</v>
      </c>
      <c r="L20" t="s">
        <v>203</v>
      </c>
    </row>
    <row r="21" spans="1:12" x14ac:dyDescent="0.3">
      <c r="A21" t="s">
        <v>0</v>
      </c>
      <c r="B21" s="25" t="s">
        <v>1</v>
      </c>
      <c r="C21">
        <v>2025</v>
      </c>
      <c r="D21" t="s">
        <v>54</v>
      </c>
      <c r="E21" t="s">
        <v>202</v>
      </c>
      <c r="F21">
        <v>103</v>
      </c>
      <c r="G21" t="s">
        <v>193</v>
      </c>
      <c r="H21" t="b">
        <v>1</v>
      </c>
      <c r="I21">
        <v>1</v>
      </c>
      <c r="J21" t="s">
        <v>194</v>
      </c>
      <c r="K21" s="40" t="b">
        <v>0</v>
      </c>
      <c r="L21" t="s">
        <v>203</v>
      </c>
    </row>
    <row r="22" spans="1:12" x14ac:dyDescent="0.3">
      <c r="A22" t="s">
        <v>0</v>
      </c>
      <c r="B22" s="25" t="s">
        <v>1</v>
      </c>
      <c r="C22">
        <v>2025</v>
      </c>
      <c r="D22" t="s">
        <v>55</v>
      </c>
      <c r="E22" t="s">
        <v>202</v>
      </c>
      <c r="F22">
        <v>104</v>
      </c>
      <c r="G22" t="s">
        <v>193</v>
      </c>
      <c r="H22" t="b">
        <v>1</v>
      </c>
      <c r="I22">
        <v>1</v>
      </c>
      <c r="J22" t="s">
        <v>194</v>
      </c>
      <c r="K22" s="40" t="b">
        <v>0</v>
      </c>
      <c r="L22" t="s">
        <v>203</v>
      </c>
    </row>
    <row r="23" spans="1:12" x14ac:dyDescent="0.3">
      <c r="A23" t="s">
        <v>0</v>
      </c>
      <c r="B23" s="25" t="s">
        <v>1</v>
      </c>
      <c r="C23">
        <v>2025</v>
      </c>
      <c r="D23" t="s">
        <v>56</v>
      </c>
      <c r="E23" t="s">
        <v>202</v>
      </c>
      <c r="F23">
        <v>111</v>
      </c>
      <c r="G23" t="s">
        <v>193</v>
      </c>
      <c r="H23" t="b">
        <v>1</v>
      </c>
      <c r="I23">
        <v>1</v>
      </c>
      <c r="J23" t="s">
        <v>194</v>
      </c>
      <c r="K23" s="40" t="b">
        <v>0</v>
      </c>
      <c r="L23" t="s">
        <v>203</v>
      </c>
    </row>
    <row r="24" spans="1:12" x14ac:dyDescent="0.3">
      <c r="B24" s="25"/>
      <c r="K24" s="40"/>
    </row>
    <row r="25" spans="1:12" x14ac:dyDescent="0.3">
      <c r="A25" t="s">
        <v>0</v>
      </c>
      <c r="B25" s="25" t="s">
        <v>1</v>
      </c>
      <c r="C25">
        <v>2025</v>
      </c>
      <c r="D25" t="s">
        <v>2</v>
      </c>
      <c r="E25" t="s">
        <v>204</v>
      </c>
      <c r="F25">
        <v>37</v>
      </c>
      <c r="G25" t="s">
        <v>193</v>
      </c>
      <c r="H25" t="b">
        <v>1</v>
      </c>
      <c r="I25">
        <v>1</v>
      </c>
      <c r="J25" t="s">
        <v>194</v>
      </c>
      <c r="K25" s="40" t="b">
        <v>0</v>
      </c>
      <c r="L25" t="s">
        <v>203</v>
      </c>
    </row>
    <row r="26" spans="1:12" x14ac:dyDescent="0.3">
      <c r="A26" t="s">
        <v>0</v>
      </c>
      <c r="B26" s="25" t="s">
        <v>1</v>
      </c>
      <c r="C26">
        <v>2025</v>
      </c>
      <c r="D26" t="s">
        <v>46</v>
      </c>
      <c r="E26" t="s">
        <v>204</v>
      </c>
      <c r="F26">
        <v>68</v>
      </c>
      <c r="G26" t="s">
        <v>193</v>
      </c>
      <c r="H26" t="b">
        <v>1</v>
      </c>
      <c r="I26">
        <v>1</v>
      </c>
      <c r="J26" t="s">
        <v>194</v>
      </c>
      <c r="K26" s="40" t="b">
        <v>0</v>
      </c>
      <c r="L26" t="s">
        <v>203</v>
      </c>
    </row>
    <row r="27" spans="1:12" x14ac:dyDescent="0.3">
      <c r="A27" t="s">
        <v>0</v>
      </c>
      <c r="B27" s="25" t="s">
        <v>1</v>
      </c>
      <c r="C27">
        <v>2025</v>
      </c>
      <c r="D27" t="s">
        <v>47</v>
      </c>
      <c r="E27" t="s">
        <v>204</v>
      </c>
      <c r="F27">
        <v>40</v>
      </c>
      <c r="G27" t="s">
        <v>193</v>
      </c>
      <c r="H27" t="b">
        <v>1</v>
      </c>
      <c r="I27">
        <v>1</v>
      </c>
      <c r="J27" t="s">
        <v>194</v>
      </c>
      <c r="K27" s="40" t="b">
        <v>0</v>
      </c>
      <c r="L27" t="s">
        <v>205</v>
      </c>
    </row>
    <row r="28" spans="1:12" x14ac:dyDescent="0.3">
      <c r="A28" t="s">
        <v>0</v>
      </c>
      <c r="B28" s="25" t="s">
        <v>1</v>
      </c>
      <c r="C28">
        <v>2025</v>
      </c>
      <c r="D28" t="s">
        <v>48</v>
      </c>
      <c r="E28" t="s">
        <v>204</v>
      </c>
      <c r="F28">
        <v>86</v>
      </c>
      <c r="G28" t="s">
        <v>193</v>
      </c>
      <c r="H28" t="b">
        <v>1</v>
      </c>
      <c r="I28">
        <v>1</v>
      </c>
      <c r="J28" t="s">
        <v>194</v>
      </c>
      <c r="K28" s="40" t="b">
        <v>0</v>
      </c>
      <c r="L28" t="s">
        <v>203</v>
      </c>
    </row>
    <row r="29" spans="1:12" x14ac:dyDescent="0.3">
      <c r="A29" t="s">
        <v>0</v>
      </c>
      <c r="B29" s="25" t="s">
        <v>1</v>
      </c>
      <c r="C29">
        <v>2025</v>
      </c>
      <c r="D29" t="s">
        <v>49</v>
      </c>
      <c r="E29" t="s">
        <v>204</v>
      </c>
      <c r="F29">
        <v>33</v>
      </c>
      <c r="G29" t="s">
        <v>193</v>
      </c>
      <c r="H29" t="b">
        <v>1</v>
      </c>
      <c r="I29">
        <v>1</v>
      </c>
      <c r="J29" t="s">
        <v>194</v>
      </c>
      <c r="K29" s="40" t="b">
        <v>0</v>
      </c>
      <c r="L29" t="s">
        <v>203</v>
      </c>
    </row>
    <row r="30" spans="1:12" x14ac:dyDescent="0.3">
      <c r="A30" t="s">
        <v>0</v>
      </c>
      <c r="B30" s="25" t="s">
        <v>1</v>
      </c>
      <c r="C30">
        <v>2025</v>
      </c>
      <c r="D30" t="s">
        <v>50</v>
      </c>
      <c r="E30" t="s">
        <v>204</v>
      </c>
      <c r="F30">
        <v>119</v>
      </c>
      <c r="G30" t="s">
        <v>193</v>
      </c>
      <c r="H30" t="b">
        <v>1</v>
      </c>
      <c r="I30">
        <v>1</v>
      </c>
      <c r="J30" t="s">
        <v>194</v>
      </c>
      <c r="K30" s="40" t="b">
        <v>0</v>
      </c>
      <c r="L30" t="s">
        <v>203</v>
      </c>
    </row>
    <row r="31" spans="1:12" x14ac:dyDescent="0.3">
      <c r="A31" t="s">
        <v>0</v>
      </c>
      <c r="B31" s="25" t="s">
        <v>1</v>
      </c>
      <c r="C31">
        <v>2025</v>
      </c>
      <c r="D31" t="s">
        <v>51</v>
      </c>
      <c r="E31" t="s">
        <v>204</v>
      </c>
      <c r="F31">
        <v>111</v>
      </c>
      <c r="G31" t="s">
        <v>193</v>
      </c>
      <c r="H31" t="b">
        <v>1</v>
      </c>
      <c r="I31">
        <v>1</v>
      </c>
      <c r="J31" t="s">
        <v>194</v>
      </c>
      <c r="K31" s="40" t="b">
        <v>0</v>
      </c>
      <c r="L31" t="s">
        <v>203</v>
      </c>
    </row>
    <row r="32" spans="1:12" x14ac:dyDescent="0.3">
      <c r="A32" t="s">
        <v>0</v>
      </c>
      <c r="B32" s="25" t="s">
        <v>1</v>
      </c>
      <c r="C32">
        <v>2025</v>
      </c>
      <c r="D32" t="s">
        <v>52</v>
      </c>
      <c r="E32" t="s">
        <v>204</v>
      </c>
      <c r="F32">
        <v>38</v>
      </c>
      <c r="G32" t="s">
        <v>193</v>
      </c>
      <c r="H32" t="b">
        <v>1</v>
      </c>
      <c r="I32">
        <v>1</v>
      </c>
      <c r="J32" t="s">
        <v>194</v>
      </c>
      <c r="K32" s="40" t="b">
        <v>0</v>
      </c>
      <c r="L32" t="s">
        <v>203</v>
      </c>
    </row>
    <row r="33" spans="1:12" x14ac:dyDescent="0.3">
      <c r="A33" t="s">
        <v>0</v>
      </c>
      <c r="B33" s="25" t="s">
        <v>1</v>
      </c>
      <c r="C33">
        <v>2025</v>
      </c>
      <c r="D33" t="s">
        <v>53</v>
      </c>
      <c r="E33" t="s">
        <v>204</v>
      </c>
      <c r="F33">
        <v>108</v>
      </c>
      <c r="G33" t="s">
        <v>193</v>
      </c>
      <c r="H33" t="b">
        <v>1</v>
      </c>
      <c r="I33">
        <v>1</v>
      </c>
      <c r="J33" t="s">
        <v>194</v>
      </c>
      <c r="K33" s="40" t="b">
        <v>0</v>
      </c>
      <c r="L33" t="s">
        <v>203</v>
      </c>
    </row>
    <row r="34" spans="1:12" x14ac:dyDescent="0.3">
      <c r="A34" t="s">
        <v>0</v>
      </c>
      <c r="B34" s="25" t="s">
        <v>1</v>
      </c>
      <c r="C34">
        <v>2025</v>
      </c>
      <c r="D34" t="s">
        <v>54</v>
      </c>
      <c r="E34" t="s">
        <v>204</v>
      </c>
      <c r="F34">
        <v>61</v>
      </c>
      <c r="G34" t="s">
        <v>193</v>
      </c>
      <c r="H34" t="b">
        <v>1</v>
      </c>
      <c r="I34">
        <v>1</v>
      </c>
      <c r="J34" t="s">
        <v>194</v>
      </c>
      <c r="K34" s="40" t="b">
        <v>0</v>
      </c>
      <c r="L34" t="s">
        <v>203</v>
      </c>
    </row>
    <row r="35" spans="1:12" x14ac:dyDescent="0.3">
      <c r="A35" t="s">
        <v>0</v>
      </c>
      <c r="B35" s="25" t="s">
        <v>1</v>
      </c>
      <c r="C35">
        <v>2025</v>
      </c>
      <c r="D35" t="s">
        <v>55</v>
      </c>
      <c r="E35" t="s">
        <v>204</v>
      </c>
      <c r="F35">
        <v>35</v>
      </c>
      <c r="G35" t="s">
        <v>193</v>
      </c>
      <c r="H35" t="b">
        <v>1</v>
      </c>
      <c r="I35">
        <v>1</v>
      </c>
      <c r="J35" t="s">
        <v>194</v>
      </c>
      <c r="K35" s="40" t="b">
        <v>0</v>
      </c>
      <c r="L35" t="s">
        <v>203</v>
      </c>
    </row>
    <row r="36" spans="1:12" x14ac:dyDescent="0.3">
      <c r="A36" t="s">
        <v>0</v>
      </c>
      <c r="B36" s="25" t="s">
        <v>1</v>
      </c>
      <c r="C36">
        <v>2025</v>
      </c>
      <c r="D36" t="s">
        <v>56</v>
      </c>
      <c r="E36" t="s">
        <v>204</v>
      </c>
      <c r="F36">
        <v>71</v>
      </c>
      <c r="G36" t="s">
        <v>193</v>
      </c>
      <c r="H36" t="b">
        <v>1</v>
      </c>
      <c r="I36">
        <v>1</v>
      </c>
      <c r="J36" t="s">
        <v>194</v>
      </c>
      <c r="K36" s="40" t="b">
        <v>0</v>
      </c>
      <c r="L36" t="s">
        <v>203</v>
      </c>
    </row>
    <row r="37" spans="1:12" x14ac:dyDescent="0.3">
      <c r="B37" s="25"/>
      <c r="K37" s="40"/>
    </row>
    <row r="38" spans="1:12" x14ac:dyDescent="0.3">
      <c r="A38" t="s">
        <v>0</v>
      </c>
      <c r="B38" s="25" t="s">
        <v>1</v>
      </c>
      <c r="C38">
        <v>2025</v>
      </c>
      <c r="D38" t="s">
        <v>2</v>
      </c>
      <c r="E38" t="s">
        <v>206</v>
      </c>
      <c r="F38">
        <v>60</v>
      </c>
      <c r="G38" t="s">
        <v>193</v>
      </c>
      <c r="H38" t="b">
        <v>1</v>
      </c>
      <c r="I38">
        <v>1</v>
      </c>
      <c r="J38" t="s">
        <v>194</v>
      </c>
      <c r="K38" s="40" t="b">
        <v>0</v>
      </c>
      <c r="L38" t="s">
        <v>207</v>
      </c>
    </row>
    <row r="39" spans="1:12" x14ac:dyDescent="0.3">
      <c r="A39" t="s">
        <v>0</v>
      </c>
      <c r="B39" s="25" t="s">
        <v>1</v>
      </c>
      <c r="C39">
        <v>2025</v>
      </c>
      <c r="D39" t="s">
        <v>46</v>
      </c>
      <c r="E39" t="s">
        <v>206</v>
      </c>
      <c r="F39">
        <v>91</v>
      </c>
      <c r="G39" t="s">
        <v>193</v>
      </c>
      <c r="H39" t="b">
        <v>1</v>
      </c>
      <c r="I39">
        <v>1</v>
      </c>
      <c r="J39" t="s">
        <v>194</v>
      </c>
      <c r="K39" s="40" t="b">
        <v>0</v>
      </c>
      <c r="L39" t="s">
        <v>207</v>
      </c>
    </row>
    <row r="40" spans="1:12" x14ac:dyDescent="0.3">
      <c r="A40" t="s">
        <v>0</v>
      </c>
      <c r="B40" s="25" t="s">
        <v>1</v>
      </c>
      <c r="C40">
        <v>2025</v>
      </c>
      <c r="D40" t="s">
        <v>47</v>
      </c>
      <c r="E40" t="s">
        <v>206</v>
      </c>
      <c r="F40">
        <v>34</v>
      </c>
      <c r="G40" t="s">
        <v>193</v>
      </c>
      <c r="H40" t="b">
        <v>1</v>
      </c>
      <c r="I40">
        <v>1</v>
      </c>
      <c r="J40" t="s">
        <v>194</v>
      </c>
      <c r="K40" s="40" t="b">
        <v>0</v>
      </c>
      <c r="L40" t="s">
        <v>207</v>
      </c>
    </row>
    <row r="41" spans="1:12" x14ac:dyDescent="0.3">
      <c r="A41" t="s">
        <v>0</v>
      </c>
      <c r="B41" s="25" t="s">
        <v>1</v>
      </c>
      <c r="C41">
        <v>2025</v>
      </c>
      <c r="D41" t="s">
        <v>48</v>
      </c>
      <c r="E41" t="s">
        <v>206</v>
      </c>
      <c r="F41">
        <v>93</v>
      </c>
      <c r="G41" t="s">
        <v>193</v>
      </c>
      <c r="H41" t="b">
        <v>1</v>
      </c>
      <c r="I41">
        <v>1</v>
      </c>
      <c r="J41" t="s">
        <v>194</v>
      </c>
      <c r="K41" s="40" t="b">
        <v>0</v>
      </c>
      <c r="L41" t="s">
        <v>207</v>
      </c>
    </row>
    <row r="42" spans="1:12" x14ac:dyDescent="0.3">
      <c r="A42" t="s">
        <v>0</v>
      </c>
      <c r="B42" s="25" t="s">
        <v>1</v>
      </c>
      <c r="C42">
        <v>2025</v>
      </c>
      <c r="D42" t="s">
        <v>49</v>
      </c>
      <c r="E42" t="s">
        <v>206</v>
      </c>
      <c r="F42">
        <v>45</v>
      </c>
      <c r="G42" t="s">
        <v>193</v>
      </c>
      <c r="H42" t="b">
        <v>1</v>
      </c>
      <c r="I42">
        <v>1</v>
      </c>
      <c r="J42" t="s">
        <v>194</v>
      </c>
      <c r="K42" s="40" t="b">
        <v>0</v>
      </c>
      <c r="L42" t="s">
        <v>207</v>
      </c>
    </row>
    <row r="43" spans="1:12" x14ac:dyDescent="0.3">
      <c r="A43" t="s">
        <v>0</v>
      </c>
      <c r="B43" s="25" t="s">
        <v>1</v>
      </c>
      <c r="C43">
        <v>2025</v>
      </c>
      <c r="D43" t="s">
        <v>50</v>
      </c>
      <c r="E43" t="s">
        <v>206</v>
      </c>
      <c r="F43">
        <v>91</v>
      </c>
      <c r="G43" t="s">
        <v>193</v>
      </c>
      <c r="H43" t="b">
        <v>1</v>
      </c>
      <c r="I43">
        <v>1</v>
      </c>
      <c r="J43" t="s">
        <v>194</v>
      </c>
      <c r="K43" s="40" t="b">
        <v>0</v>
      </c>
      <c r="L43" t="s">
        <v>207</v>
      </c>
    </row>
    <row r="44" spans="1:12" x14ac:dyDescent="0.3">
      <c r="A44" t="s">
        <v>0</v>
      </c>
      <c r="B44" s="25" t="s">
        <v>1</v>
      </c>
      <c r="C44">
        <v>2025</v>
      </c>
      <c r="D44" t="s">
        <v>51</v>
      </c>
      <c r="E44" t="s">
        <v>206</v>
      </c>
      <c r="F44">
        <v>29</v>
      </c>
      <c r="G44" t="s">
        <v>193</v>
      </c>
      <c r="H44" t="b">
        <v>1</v>
      </c>
      <c r="I44">
        <v>1</v>
      </c>
      <c r="J44" t="s">
        <v>194</v>
      </c>
      <c r="K44" s="40" t="b">
        <v>0</v>
      </c>
      <c r="L44" t="s">
        <v>207</v>
      </c>
    </row>
    <row r="45" spans="1:12" x14ac:dyDescent="0.3">
      <c r="A45" t="s">
        <v>0</v>
      </c>
      <c r="B45" s="25" t="s">
        <v>1</v>
      </c>
      <c r="C45">
        <v>2025</v>
      </c>
      <c r="D45" t="s">
        <v>52</v>
      </c>
      <c r="E45" t="s">
        <v>206</v>
      </c>
      <c r="F45">
        <v>117</v>
      </c>
      <c r="G45" t="s">
        <v>193</v>
      </c>
      <c r="H45" t="b">
        <v>1</v>
      </c>
      <c r="I45">
        <v>1</v>
      </c>
      <c r="J45" t="s">
        <v>194</v>
      </c>
      <c r="K45" s="40" t="b">
        <v>0</v>
      </c>
      <c r="L45" t="s">
        <v>207</v>
      </c>
    </row>
    <row r="46" spans="1:12" x14ac:dyDescent="0.3">
      <c r="A46" t="s">
        <v>0</v>
      </c>
      <c r="B46" s="25" t="s">
        <v>1</v>
      </c>
      <c r="C46">
        <v>2025</v>
      </c>
      <c r="D46" t="s">
        <v>53</v>
      </c>
      <c r="E46" t="s">
        <v>206</v>
      </c>
      <c r="F46">
        <v>38</v>
      </c>
      <c r="G46" t="s">
        <v>193</v>
      </c>
      <c r="H46" t="b">
        <v>1</v>
      </c>
      <c r="I46">
        <v>1</v>
      </c>
      <c r="J46" t="s">
        <v>194</v>
      </c>
      <c r="K46" s="40" t="b">
        <v>0</v>
      </c>
      <c r="L46" t="s">
        <v>207</v>
      </c>
    </row>
    <row r="47" spans="1:12" x14ac:dyDescent="0.3">
      <c r="A47" t="s">
        <v>0</v>
      </c>
      <c r="B47" s="25" t="s">
        <v>1</v>
      </c>
      <c r="C47">
        <v>2025</v>
      </c>
      <c r="D47" t="s">
        <v>54</v>
      </c>
      <c r="E47" t="s">
        <v>206</v>
      </c>
      <c r="F47">
        <v>78</v>
      </c>
      <c r="G47" t="s">
        <v>193</v>
      </c>
      <c r="H47" t="b">
        <v>1</v>
      </c>
      <c r="I47">
        <v>1</v>
      </c>
      <c r="J47" t="s">
        <v>194</v>
      </c>
      <c r="K47" s="40" t="b">
        <v>0</v>
      </c>
      <c r="L47" t="s">
        <v>207</v>
      </c>
    </row>
    <row r="48" spans="1:12" x14ac:dyDescent="0.3">
      <c r="A48" t="s">
        <v>0</v>
      </c>
      <c r="B48" s="25" t="s">
        <v>1</v>
      </c>
      <c r="C48">
        <v>2025</v>
      </c>
      <c r="D48" t="s">
        <v>55</v>
      </c>
      <c r="E48" t="s">
        <v>206</v>
      </c>
      <c r="F48">
        <v>69</v>
      </c>
      <c r="G48" t="s">
        <v>193</v>
      </c>
      <c r="H48" t="b">
        <v>1</v>
      </c>
      <c r="I48">
        <v>1</v>
      </c>
      <c r="J48" t="s">
        <v>194</v>
      </c>
      <c r="K48" s="40" t="b">
        <v>0</v>
      </c>
      <c r="L48" t="s">
        <v>207</v>
      </c>
    </row>
    <row r="49" spans="1:12" x14ac:dyDescent="0.3">
      <c r="A49" t="s">
        <v>0</v>
      </c>
      <c r="B49" s="25" t="s">
        <v>1</v>
      </c>
      <c r="C49">
        <v>2025</v>
      </c>
      <c r="D49" t="s">
        <v>56</v>
      </c>
      <c r="E49" t="s">
        <v>206</v>
      </c>
      <c r="F49">
        <v>42</v>
      </c>
      <c r="G49" t="s">
        <v>193</v>
      </c>
      <c r="H49" t="b">
        <v>1</v>
      </c>
      <c r="I49">
        <v>1</v>
      </c>
      <c r="J49" t="s">
        <v>194</v>
      </c>
      <c r="K49" s="40" t="b">
        <v>0</v>
      </c>
      <c r="L49" t="s">
        <v>207</v>
      </c>
    </row>
    <row r="50" spans="1:12" x14ac:dyDescent="0.3">
      <c r="B50" s="25"/>
      <c r="K50" s="40"/>
    </row>
    <row r="51" spans="1:12" x14ac:dyDescent="0.3">
      <c r="A51" t="s">
        <v>0</v>
      </c>
      <c r="B51" s="25" t="s">
        <v>1</v>
      </c>
      <c r="C51">
        <v>2025</v>
      </c>
      <c r="D51" t="s">
        <v>2</v>
      </c>
      <c r="E51" t="s">
        <v>208</v>
      </c>
      <c r="F51">
        <v>85</v>
      </c>
      <c r="G51" t="s">
        <v>193</v>
      </c>
      <c r="H51" t="b">
        <v>1</v>
      </c>
      <c r="I51">
        <v>1</v>
      </c>
      <c r="J51" t="s">
        <v>194</v>
      </c>
      <c r="K51" s="40" t="b">
        <v>0</v>
      </c>
      <c r="L51" t="s">
        <v>205</v>
      </c>
    </row>
    <row r="52" spans="1:12" x14ac:dyDescent="0.3">
      <c r="A52" t="s">
        <v>0</v>
      </c>
      <c r="B52" s="25" t="s">
        <v>1</v>
      </c>
      <c r="C52">
        <v>2025</v>
      </c>
      <c r="D52" t="s">
        <v>46</v>
      </c>
      <c r="E52" t="s">
        <v>208</v>
      </c>
      <c r="F52">
        <v>83</v>
      </c>
      <c r="G52" t="s">
        <v>193</v>
      </c>
      <c r="H52" t="b">
        <v>1</v>
      </c>
      <c r="I52">
        <v>1</v>
      </c>
      <c r="J52" t="s">
        <v>194</v>
      </c>
      <c r="K52" s="40" t="b">
        <v>0</v>
      </c>
      <c r="L52" t="s">
        <v>205</v>
      </c>
    </row>
    <row r="53" spans="1:12" x14ac:dyDescent="0.3">
      <c r="A53" t="s">
        <v>0</v>
      </c>
      <c r="B53" s="25" t="s">
        <v>1</v>
      </c>
      <c r="C53">
        <v>2025</v>
      </c>
      <c r="D53" t="s">
        <v>47</v>
      </c>
      <c r="E53" t="s">
        <v>208</v>
      </c>
      <c r="F53">
        <v>78</v>
      </c>
      <c r="G53" t="s">
        <v>193</v>
      </c>
      <c r="H53" t="b">
        <v>1</v>
      </c>
      <c r="I53">
        <v>1</v>
      </c>
      <c r="J53" t="s">
        <v>194</v>
      </c>
      <c r="K53" s="40" t="b">
        <v>0</v>
      </c>
      <c r="L53" t="s">
        <v>205</v>
      </c>
    </row>
    <row r="54" spans="1:12" x14ac:dyDescent="0.3">
      <c r="A54" t="s">
        <v>0</v>
      </c>
      <c r="B54" s="25" t="s">
        <v>1</v>
      </c>
      <c r="C54">
        <v>2025</v>
      </c>
      <c r="D54" t="s">
        <v>48</v>
      </c>
      <c r="E54" t="s">
        <v>208</v>
      </c>
      <c r="F54">
        <v>120</v>
      </c>
      <c r="G54" t="s">
        <v>193</v>
      </c>
      <c r="H54" t="b">
        <v>1</v>
      </c>
      <c r="I54">
        <v>1</v>
      </c>
      <c r="J54" t="s">
        <v>194</v>
      </c>
      <c r="K54" s="40" t="b">
        <v>0</v>
      </c>
      <c r="L54" t="s">
        <v>205</v>
      </c>
    </row>
    <row r="55" spans="1:12" x14ac:dyDescent="0.3">
      <c r="A55" t="s">
        <v>0</v>
      </c>
      <c r="B55" s="25" t="s">
        <v>1</v>
      </c>
      <c r="C55">
        <v>2025</v>
      </c>
      <c r="D55" t="s">
        <v>49</v>
      </c>
      <c r="E55" t="s">
        <v>208</v>
      </c>
      <c r="F55">
        <v>24</v>
      </c>
      <c r="G55" t="s">
        <v>193</v>
      </c>
      <c r="H55" t="b">
        <v>1</v>
      </c>
      <c r="I55">
        <v>1</v>
      </c>
      <c r="J55" t="s">
        <v>194</v>
      </c>
      <c r="K55" s="40" t="b">
        <v>0</v>
      </c>
      <c r="L55" t="s">
        <v>205</v>
      </c>
    </row>
    <row r="56" spans="1:12" x14ac:dyDescent="0.3">
      <c r="A56" t="s">
        <v>0</v>
      </c>
      <c r="B56" s="25" t="s">
        <v>1</v>
      </c>
      <c r="C56">
        <v>2025</v>
      </c>
      <c r="D56" t="s">
        <v>50</v>
      </c>
      <c r="E56" t="s">
        <v>208</v>
      </c>
      <c r="F56">
        <v>52</v>
      </c>
      <c r="G56" t="s">
        <v>193</v>
      </c>
      <c r="H56" t="b">
        <v>1</v>
      </c>
      <c r="I56">
        <v>1</v>
      </c>
      <c r="J56" t="s">
        <v>194</v>
      </c>
      <c r="K56" s="40" t="b">
        <v>0</v>
      </c>
      <c r="L56" t="s">
        <v>205</v>
      </c>
    </row>
    <row r="57" spans="1:12" x14ac:dyDescent="0.3">
      <c r="A57" t="s">
        <v>0</v>
      </c>
      <c r="B57" s="25" t="s">
        <v>1</v>
      </c>
      <c r="C57">
        <v>2025</v>
      </c>
      <c r="D57" t="s">
        <v>51</v>
      </c>
      <c r="E57" t="s">
        <v>208</v>
      </c>
      <c r="F57">
        <v>58</v>
      </c>
      <c r="G57" t="s">
        <v>193</v>
      </c>
      <c r="H57" t="b">
        <v>1</v>
      </c>
      <c r="I57">
        <v>1</v>
      </c>
      <c r="J57" t="s">
        <v>194</v>
      </c>
      <c r="K57" s="40" t="b">
        <v>0</v>
      </c>
      <c r="L57" t="s">
        <v>205</v>
      </c>
    </row>
    <row r="58" spans="1:12" x14ac:dyDescent="0.3">
      <c r="A58" t="s">
        <v>0</v>
      </c>
      <c r="B58" s="25" t="s">
        <v>1</v>
      </c>
      <c r="C58">
        <v>2025</v>
      </c>
      <c r="D58" t="s">
        <v>52</v>
      </c>
      <c r="E58" t="s">
        <v>208</v>
      </c>
      <c r="F58">
        <v>34</v>
      </c>
      <c r="G58" t="s">
        <v>193</v>
      </c>
      <c r="H58" t="b">
        <v>1</v>
      </c>
      <c r="I58">
        <v>1</v>
      </c>
      <c r="J58" t="s">
        <v>194</v>
      </c>
      <c r="K58" s="40" t="b">
        <v>0</v>
      </c>
      <c r="L58" t="s">
        <v>205</v>
      </c>
    </row>
    <row r="59" spans="1:12" x14ac:dyDescent="0.3">
      <c r="A59" t="s">
        <v>0</v>
      </c>
      <c r="B59" s="25" t="s">
        <v>1</v>
      </c>
      <c r="C59">
        <v>2025</v>
      </c>
      <c r="D59" t="s">
        <v>53</v>
      </c>
      <c r="E59" t="s">
        <v>208</v>
      </c>
      <c r="F59">
        <v>89</v>
      </c>
      <c r="G59" t="s">
        <v>193</v>
      </c>
      <c r="H59" t="b">
        <v>1</v>
      </c>
      <c r="I59">
        <v>1</v>
      </c>
      <c r="J59" t="s">
        <v>194</v>
      </c>
      <c r="K59" s="40" t="b">
        <v>0</v>
      </c>
      <c r="L59" t="s">
        <v>205</v>
      </c>
    </row>
    <row r="60" spans="1:12" x14ac:dyDescent="0.3">
      <c r="A60" t="s">
        <v>0</v>
      </c>
      <c r="B60" s="25" t="s">
        <v>1</v>
      </c>
      <c r="C60">
        <v>2025</v>
      </c>
      <c r="D60" t="s">
        <v>54</v>
      </c>
      <c r="E60" t="s">
        <v>208</v>
      </c>
      <c r="F60">
        <v>75</v>
      </c>
      <c r="G60" t="s">
        <v>193</v>
      </c>
      <c r="H60" t="b">
        <v>1</v>
      </c>
      <c r="I60">
        <v>1</v>
      </c>
      <c r="J60" t="s">
        <v>194</v>
      </c>
      <c r="K60" s="40" t="b">
        <v>0</v>
      </c>
      <c r="L60" t="s">
        <v>205</v>
      </c>
    </row>
    <row r="61" spans="1:12" x14ac:dyDescent="0.3">
      <c r="A61" t="s">
        <v>0</v>
      </c>
      <c r="B61" s="25" t="s">
        <v>1</v>
      </c>
      <c r="C61">
        <v>2025</v>
      </c>
      <c r="D61" t="s">
        <v>55</v>
      </c>
      <c r="E61" t="s">
        <v>208</v>
      </c>
      <c r="F61">
        <v>74</v>
      </c>
      <c r="G61" t="s">
        <v>193</v>
      </c>
      <c r="H61" t="b">
        <v>1</v>
      </c>
      <c r="I61">
        <v>1</v>
      </c>
      <c r="J61" t="s">
        <v>194</v>
      </c>
      <c r="K61" s="40" t="b">
        <v>0</v>
      </c>
      <c r="L61" t="s">
        <v>205</v>
      </c>
    </row>
    <row r="62" spans="1:12" x14ac:dyDescent="0.3">
      <c r="A62" t="s">
        <v>0</v>
      </c>
      <c r="B62" s="25" t="s">
        <v>1</v>
      </c>
      <c r="C62">
        <v>2025</v>
      </c>
      <c r="D62" t="s">
        <v>56</v>
      </c>
      <c r="E62" t="s">
        <v>208</v>
      </c>
      <c r="F62">
        <v>102</v>
      </c>
      <c r="G62" t="s">
        <v>193</v>
      </c>
      <c r="H62" t="b">
        <v>1</v>
      </c>
      <c r="I62">
        <v>1</v>
      </c>
      <c r="J62" t="s">
        <v>194</v>
      </c>
      <c r="K62" s="40" t="b">
        <v>0</v>
      </c>
      <c r="L62" t="s">
        <v>203</v>
      </c>
    </row>
    <row r="63" spans="1:12" x14ac:dyDescent="0.3">
      <c r="B63" s="25"/>
      <c r="K63" s="40"/>
    </row>
    <row r="64" spans="1:12" x14ac:dyDescent="0.3">
      <c r="A64" t="s">
        <v>0</v>
      </c>
      <c r="B64" s="25" t="s">
        <v>1</v>
      </c>
      <c r="C64">
        <v>2025</v>
      </c>
      <c r="D64" t="s">
        <v>2</v>
      </c>
      <c r="E64" t="s">
        <v>209</v>
      </c>
      <c r="F64">
        <v>23</v>
      </c>
      <c r="G64" t="s">
        <v>193</v>
      </c>
      <c r="H64" t="b">
        <v>1</v>
      </c>
      <c r="I64">
        <v>1</v>
      </c>
      <c r="J64" t="s">
        <v>194</v>
      </c>
      <c r="K64" s="40" t="b">
        <v>0</v>
      </c>
      <c r="L64" t="s">
        <v>203</v>
      </c>
    </row>
    <row r="65" spans="1:12" x14ac:dyDescent="0.3">
      <c r="A65" t="s">
        <v>0</v>
      </c>
      <c r="B65" s="25" t="s">
        <v>1</v>
      </c>
      <c r="C65">
        <v>2025</v>
      </c>
      <c r="D65" t="s">
        <v>46</v>
      </c>
      <c r="E65" t="s">
        <v>209</v>
      </c>
      <c r="F65">
        <v>83</v>
      </c>
      <c r="G65" t="s">
        <v>193</v>
      </c>
      <c r="H65" t="b">
        <v>1</v>
      </c>
      <c r="I65">
        <v>1</v>
      </c>
      <c r="J65" t="s">
        <v>194</v>
      </c>
      <c r="K65" s="40" t="b">
        <v>0</v>
      </c>
      <c r="L65" t="s">
        <v>203</v>
      </c>
    </row>
    <row r="66" spans="1:12" x14ac:dyDescent="0.3">
      <c r="A66" t="s">
        <v>0</v>
      </c>
      <c r="B66" s="25" t="s">
        <v>1</v>
      </c>
      <c r="C66">
        <v>2025</v>
      </c>
      <c r="D66" t="s">
        <v>47</v>
      </c>
      <c r="E66" t="s">
        <v>209</v>
      </c>
      <c r="F66">
        <v>118</v>
      </c>
      <c r="G66" t="s">
        <v>193</v>
      </c>
      <c r="H66" t="b">
        <v>1</v>
      </c>
      <c r="I66">
        <v>1</v>
      </c>
      <c r="J66" t="s">
        <v>194</v>
      </c>
      <c r="K66" s="40" t="b">
        <v>0</v>
      </c>
      <c r="L66" t="s">
        <v>203</v>
      </c>
    </row>
    <row r="67" spans="1:12" x14ac:dyDescent="0.3">
      <c r="A67" t="s">
        <v>0</v>
      </c>
      <c r="B67" s="25" t="s">
        <v>1</v>
      </c>
      <c r="C67">
        <v>2025</v>
      </c>
      <c r="D67" t="s">
        <v>48</v>
      </c>
      <c r="E67" t="s">
        <v>209</v>
      </c>
      <c r="F67">
        <v>39</v>
      </c>
      <c r="G67" t="s">
        <v>193</v>
      </c>
      <c r="H67" t="b">
        <v>1</v>
      </c>
      <c r="I67">
        <v>1</v>
      </c>
      <c r="J67" t="s">
        <v>194</v>
      </c>
      <c r="K67" s="40" t="b">
        <v>0</v>
      </c>
      <c r="L67" t="s">
        <v>203</v>
      </c>
    </row>
    <row r="68" spans="1:12" x14ac:dyDescent="0.3">
      <c r="A68" t="s">
        <v>0</v>
      </c>
      <c r="B68" s="25" t="s">
        <v>1</v>
      </c>
      <c r="C68">
        <v>2025</v>
      </c>
      <c r="D68" t="s">
        <v>49</v>
      </c>
      <c r="E68" t="s">
        <v>209</v>
      </c>
      <c r="F68">
        <v>69</v>
      </c>
      <c r="G68" t="s">
        <v>193</v>
      </c>
      <c r="H68" t="b">
        <v>1</v>
      </c>
      <c r="I68">
        <v>1</v>
      </c>
      <c r="J68" t="s">
        <v>194</v>
      </c>
      <c r="K68" s="40" t="b">
        <v>0</v>
      </c>
      <c r="L68" t="s">
        <v>203</v>
      </c>
    </row>
    <row r="69" spans="1:12" x14ac:dyDescent="0.3">
      <c r="A69" t="s">
        <v>0</v>
      </c>
      <c r="B69" s="25" t="s">
        <v>1</v>
      </c>
      <c r="C69">
        <v>2025</v>
      </c>
      <c r="D69" t="s">
        <v>50</v>
      </c>
      <c r="E69" t="s">
        <v>209</v>
      </c>
      <c r="F69">
        <v>83</v>
      </c>
      <c r="G69" t="s">
        <v>193</v>
      </c>
      <c r="H69" t="b">
        <v>1</v>
      </c>
      <c r="I69">
        <v>1</v>
      </c>
      <c r="J69" t="s">
        <v>194</v>
      </c>
      <c r="K69" s="40" t="b">
        <v>0</v>
      </c>
      <c r="L69" t="s">
        <v>203</v>
      </c>
    </row>
    <row r="70" spans="1:12" x14ac:dyDescent="0.3">
      <c r="A70" t="s">
        <v>0</v>
      </c>
      <c r="B70" s="25" t="s">
        <v>1</v>
      </c>
      <c r="C70">
        <v>2025</v>
      </c>
      <c r="D70" t="s">
        <v>51</v>
      </c>
      <c r="E70" t="s">
        <v>209</v>
      </c>
      <c r="F70">
        <v>59</v>
      </c>
      <c r="G70" t="s">
        <v>193</v>
      </c>
      <c r="H70" t="b">
        <v>1</v>
      </c>
      <c r="I70">
        <v>1</v>
      </c>
      <c r="J70" t="s">
        <v>194</v>
      </c>
      <c r="K70" s="40" t="b">
        <v>0</v>
      </c>
      <c r="L70" t="s">
        <v>203</v>
      </c>
    </row>
    <row r="71" spans="1:12" x14ac:dyDescent="0.3">
      <c r="A71" t="s">
        <v>0</v>
      </c>
      <c r="B71" s="25" t="s">
        <v>1</v>
      </c>
      <c r="C71">
        <v>2025</v>
      </c>
      <c r="D71" t="s">
        <v>52</v>
      </c>
      <c r="E71" t="s">
        <v>209</v>
      </c>
      <c r="F71">
        <v>83</v>
      </c>
      <c r="G71" t="s">
        <v>193</v>
      </c>
      <c r="H71" t="b">
        <v>1</v>
      </c>
      <c r="I71">
        <v>1</v>
      </c>
      <c r="J71" t="s">
        <v>194</v>
      </c>
      <c r="K71" s="40" t="b">
        <v>0</v>
      </c>
      <c r="L71" t="s">
        <v>203</v>
      </c>
    </row>
    <row r="72" spans="1:12" x14ac:dyDescent="0.3">
      <c r="A72" t="s">
        <v>0</v>
      </c>
      <c r="B72" s="25" t="s">
        <v>1</v>
      </c>
      <c r="C72">
        <v>2025</v>
      </c>
      <c r="D72" t="s">
        <v>53</v>
      </c>
      <c r="E72" t="s">
        <v>209</v>
      </c>
      <c r="F72">
        <v>99</v>
      </c>
      <c r="G72" t="s">
        <v>193</v>
      </c>
      <c r="H72" t="b">
        <v>1</v>
      </c>
      <c r="I72">
        <v>1</v>
      </c>
      <c r="J72" t="s">
        <v>194</v>
      </c>
      <c r="K72" s="40" t="b">
        <v>0</v>
      </c>
      <c r="L72" t="s">
        <v>203</v>
      </c>
    </row>
    <row r="73" spans="1:12" x14ac:dyDescent="0.3">
      <c r="A73" t="s">
        <v>0</v>
      </c>
      <c r="B73" s="25" t="s">
        <v>1</v>
      </c>
      <c r="C73">
        <v>2025</v>
      </c>
      <c r="D73" t="s">
        <v>54</v>
      </c>
      <c r="E73" t="s">
        <v>209</v>
      </c>
      <c r="F73">
        <v>77</v>
      </c>
      <c r="G73" t="s">
        <v>193</v>
      </c>
      <c r="H73" t="b">
        <v>1</v>
      </c>
      <c r="I73">
        <v>1</v>
      </c>
      <c r="J73" t="s">
        <v>194</v>
      </c>
      <c r="K73" s="40" t="b">
        <v>0</v>
      </c>
      <c r="L73" t="s">
        <v>203</v>
      </c>
    </row>
    <row r="74" spans="1:12" x14ac:dyDescent="0.3">
      <c r="A74" t="s">
        <v>0</v>
      </c>
      <c r="B74" s="25" t="s">
        <v>1</v>
      </c>
      <c r="C74">
        <v>2025</v>
      </c>
      <c r="D74" t="s">
        <v>55</v>
      </c>
      <c r="E74" t="s">
        <v>209</v>
      </c>
      <c r="F74">
        <v>70</v>
      </c>
      <c r="G74" t="s">
        <v>193</v>
      </c>
      <c r="H74" t="b">
        <v>1</v>
      </c>
      <c r="I74">
        <v>1</v>
      </c>
      <c r="J74" t="s">
        <v>194</v>
      </c>
      <c r="K74" s="40" t="b">
        <v>0</v>
      </c>
      <c r="L74" t="s">
        <v>203</v>
      </c>
    </row>
    <row r="75" spans="1:12" x14ac:dyDescent="0.3">
      <c r="A75" t="s">
        <v>0</v>
      </c>
      <c r="B75" s="25" t="s">
        <v>1</v>
      </c>
      <c r="C75">
        <v>2025</v>
      </c>
      <c r="D75" t="s">
        <v>56</v>
      </c>
      <c r="E75" t="s">
        <v>209</v>
      </c>
      <c r="F75">
        <v>35</v>
      </c>
      <c r="G75" t="s">
        <v>193</v>
      </c>
      <c r="H75" t="b">
        <v>1</v>
      </c>
      <c r="I75">
        <v>1</v>
      </c>
      <c r="J75" t="s">
        <v>194</v>
      </c>
      <c r="K75" s="40" t="b">
        <v>0</v>
      </c>
      <c r="L75" t="s">
        <v>203</v>
      </c>
    </row>
    <row r="76" spans="1:12" x14ac:dyDescent="0.3">
      <c r="B76" s="25"/>
      <c r="K76" s="40"/>
    </row>
    <row r="77" spans="1:12" x14ac:dyDescent="0.3">
      <c r="A77" t="s">
        <v>0</v>
      </c>
      <c r="B77" s="25" t="s">
        <v>1</v>
      </c>
      <c r="C77">
        <v>2025</v>
      </c>
      <c r="D77" t="s">
        <v>2</v>
      </c>
      <c r="E77" t="s">
        <v>210</v>
      </c>
      <c r="F77">
        <v>53</v>
      </c>
      <c r="G77" t="s">
        <v>193</v>
      </c>
      <c r="H77" t="b">
        <v>1</v>
      </c>
      <c r="I77">
        <v>1</v>
      </c>
      <c r="J77" t="s">
        <v>194</v>
      </c>
      <c r="K77" s="40" t="b">
        <v>0</v>
      </c>
      <c r="L77" t="s">
        <v>203</v>
      </c>
    </row>
    <row r="78" spans="1:12" x14ac:dyDescent="0.3">
      <c r="A78" t="s">
        <v>0</v>
      </c>
      <c r="B78" s="25" t="s">
        <v>1</v>
      </c>
      <c r="C78">
        <v>2025</v>
      </c>
      <c r="D78" t="s">
        <v>46</v>
      </c>
      <c r="E78" t="s">
        <v>210</v>
      </c>
      <c r="F78">
        <v>84</v>
      </c>
      <c r="G78" t="s">
        <v>193</v>
      </c>
      <c r="H78" t="b">
        <v>1</v>
      </c>
      <c r="I78">
        <v>1</v>
      </c>
      <c r="J78" t="s">
        <v>194</v>
      </c>
      <c r="K78" s="40" t="b">
        <v>0</v>
      </c>
      <c r="L78" t="s">
        <v>203</v>
      </c>
    </row>
    <row r="79" spans="1:12" x14ac:dyDescent="0.3">
      <c r="A79" t="s">
        <v>0</v>
      </c>
      <c r="B79" s="25" t="s">
        <v>1</v>
      </c>
      <c r="C79">
        <v>2025</v>
      </c>
      <c r="D79" t="s">
        <v>47</v>
      </c>
      <c r="E79" t="s">
        <v>210</v>
      </c>
      <c r="F79">
        <v>78</v>
      </c>
      <c r="G79" t="s">
        <v>193</v>
      </c>
      <c r="H79" t="b">
        <v>1</v>
      </c>
      <c r="I79">
        <v>1</v>
      </c>
      <c r="J79" t="s">
        <v>194</v>
      </c>
      <c r="K79" s="40" t="b">
        <v>0</v>
      </c>
      <c r="L79" t="s">
        <v>203</v>
      </c>
    </row>
    <row r="80" spans="1:12" x14ac:dyDescent="0.3">
      <c r="A80" t="s">
        <v>0</v>
      </c>
      <c r="B80" s="25" t="s">
        <v>1</v>
      </c>
      <c r="C80">
        <v>2025</v>
      </c>
      <c r="D80" t="s">
        <v>48</v>
      </c>
      <c r="E80" t="s">
        <v>210</v>
      </c>
      <c r="F80">
        <v>66</v>
      </c>
      <c r="G80" t="s">
        <v>193</v>
      </c>
      <c r="H80" t="b">
        <v>1</v>
      </c>
      <c r="I80">
        <v>1</v>
      </c>
      <c r="J80" t="s">
        <v>194</v>
      </c>
      <c r="K80" s="40" t="b">
        <v>0</v>
      </c>
      <c r="L80" t="s">
        <v>203</v>
      </c>
    </row>
    <row r="81" spans="1:12" x14ac:dyDescent="0.3">
      <c r="A81" t="s">
        <v>0</v>
      </c>
      <c r="B81" s="25" t="s">
        <v>1</v>
      </c>
      <c r="C81">
        <v>2025</v>
      </c>
      <c r="D81" t="s">
        <v>49</v>
      </c>
      <c r="E81" t="s">
        <v>210</v>
      </c>
      <c r="F81">
        <v>117</v>
      </c>
      <c r="G81" t="s">
        <v>193</v>
      </c>
      <c r="H81" t="b">
        <v>1</v>
      </c>
      <c r="I81">
        <v>1</v>
      </c>
      <c r="J81" t="s">
        <v>194</v>
      </c>
      <c r="K81" s="40" t="b">
        <v>0</v>
      </c>
      <c r="L81" t="s">
        <v>203</v>
      </c>
    </row>
    <row r="82" spans="1:12" x14ac:dyDescent="0.3">
      <c r="A82" t="s">
        <v>0</v>
      </c>
      <c r="B82" s="25" t="s">
        <v>1</v>
      </c>
      <c r="C82">
        <v>2025</v>
      </c>
      <c r="D82" t="s">
        <v>50</v>
      </c>
      <c r="E82" t="s">
        <v>210</v>
      </c>
      <c r="F82">
        <v>77</v>
      </c>
      <c r="G82" t="s">
        <v>193</v>
      </c>
      <c r="H82" t="b">
        <v>1</v>
      </c>
      <c r="I82">
        <v>1</v>
      </c>
      <c r="J82" t="s">
        <v>194</v>
      </c>
      <c r="K82" s="40" t="b">
        <v>0</v>
      </c>
      <c r="L82" t="s">
        <v>203</v>
      </c>
    </row>
    <row r="83" spans="1:12" x14ac:dyDescent="0.3">
      <c r="A83" t="s">
        <v>0</v>
      </c>
      <c r="B83" s="25" t="s">
        <v>1</v>
      </c>
      <c r="C83">
        <v>2025</v>
      </c>
      <c r="D83" t="s">
        <v>51</v>
      </c>
      <c r="E83" t="s">
        <v>210</v>
      </c>
      <c r="F83">
        <v>61</v>
      </c>
      <c r="G83" t="s">
        <v>193</v>
      </c>
      <c r="H83" t="b">
        <v>1</v>
      </c>
      <c r="I83">
        <v>1</v>
      </c>
      <c r="J83" t="s">
        <v>194</v>
      </c>
      <c r="K83" s="40" t="b">
        <v>0</v>
      </c>
      <c r="L83" t="s">
        <v>203</v>
      </c>
    </row>
    <row r="84" spans="1:12" x14ac:dyDescent="0.3">
      <c r="A84" t="s">
        <v>0</v>
      </c>
      <c r="B84" s="25" t="s">
        <v>1</v>
      </c>
      <c r="C84">
        <v>2025</v>
      </c>
      <c r="D84" t="s">
        <v>52</v>
      </c>
      <c r="E84" t="s">
        <v>210</v>
      </c>
      <c r="F84">
        <v>40</v>
      </c>
      <c r="G84" t="s">
        <v>193</v>
      </c>
      <c r="H84" t="b">
        <v>1</v>
      </c>
      <c r="I84">
        <v>1</v>
      </c>
      <c r="J84" t="s">
        <v>194</v>
      </c>
      <c r="K84" s="40" t="b">
        <v>0</v>
      </c>
      <c r="L84" t="s">
        <v>203</v>
      </c>
    </row>
    <row r="85" spans="1:12" x14ac:dyDescent="0.3">
      <c r="A85" t="s">
        <v>0</v>
      </c>
      <c r="B85" s="25" t="s">
        <v>1</v>
      </c>
      <c r="C85">
        <v>2025</v>
      </c>
      <c r="D85" t="s">
        <v>53</v>
      </c>
      <c r="E85" t="s">
        <v>210</v>
      </c>
      <c r="F85">
        <v>69</v>
      </c>
      <c r="G85" t="s">
        <v>193</v>
      </c>
      <c r="H85" t="b">
        <v>1</v>
      </c>
      <c r="I85">
        <v>1</v>
      </c>
      <c r="J85" t="s">
        <v>194</v>
      </c>
      <c r="K85" s="40" t="b">
        <v>0</v>
      </c>
      <c r="L85" t="s">
        <v>203</v>
      </c>
    </row>
    <row r="86" spans="1:12" x14ac:dyDescent="0.3">
      <c r="A86" t="s">
        <v>0</v>
      </c>
      <c r="B86" s="25" t="s">
        <v>1</v>
      </c>
      <c r="C86">
        <v>2025</v>
      </c>
      <c r="D86" t="s">
        <v>54</v>
      </c>
      <c r="E86" t="s">
        <v>210</v>
      </c>
      <c r="F86">
        <v>109</v>
      </c>
      <c r="G86" t="s">
        <v>193</v>
      </c>
      <c r="H86" t="b">
        <v>1</v>
      </c>
      <c r="I86">
        <v>1</v>
      </c>
      <c r="J86" t="s">
        <v>194</v>
      </c>
      <c r="K86" s="40" t="b">
        <v>0</v>
      </c>
      <c r="L86" t="s">
        <v>203</v>
      </c>
    </row>
    <row r="87" spans="1:12" x14ac:dyDescent="0.3">
      <c r="A87" t="s">
        <v>0</v>
      </c>
      <c r="B87" s="25" t="s">
        <v>1</v>
      </c>
      <c r="C87">
        <v>2025</v>
      </c>
      <c r="D87" t="s">
        <v>55</v>
      </c>
      <c r="E87" t="s">
        <v>210</v>
      </c>
      <c r="F87">
        <v>117</v>
      </c>
      <c r="G87" t="s">
        <v>193</v>
      </c>
      <c r="H87" t="b">
        <v>1</v>
      </c>
      <c r="I87">
        <v>1</v>
      </c>
      <c r="J87" t="s">
        <v>194</v>
      </c>
      <c r="K87" s="40" t="b">
        <v>0</v>
      </c>
      <c r="L87" t="s">
        <v>203</v>
      </c>
    </row>
    <row r="88" spans="1:12" x14ac:dyDescent="0.3">
      <c r="A88" t="s">
        <v>0</v>
      </c>
      <c r="B88" s="25" t="s">
        <v>1</v>
      </c>
      <c r="C88">
        <v>2025</v>
      </c>
      <c r="D88" t="s">
        <v>56</v>
      </c>
      <c r="E88" t="s">
        <v>210</v>
      </c>
      <c r="F88">
        <v>77</v>
      </c>
      <c r="G88" t="s">
        <v>193</v>
      </c>
      <c r="H88" t="b">
        <v>1</v>
      </c>
      <c r="I88">
        <v>1</v>
      </c>
      <c r="J88" t="s">
        <v>194</v>
      </c>
      <c r="K88" s="40" t="b">
        <v>0</v>
      </c>
      <c r="L88" t="s">
        <v>203</v>
      </c>
    </row>
    <row r="89" spans="1:12" x14ac:dyDescent="0.3">
      <c r="B89" s="25"/>
      <c r="K89" s="40"/>
    </row>
    <row r="90" spans="1:12" x14ac:dyDescent="0.3">
      <c r="A90" t="s">
        <v>0</v>
      </c>
      <c r="B90" s="25" t="s">
        <v>1</v>
      </c>
      <c r="C90">
        <v>2025</v>
      </c>
      <c r="D90" t="s">
        <v>2</v>
      </c>
      <c r="E90" t="s">
        <v>211</v>
      </c>
      <c r="F90">
        <v>46</v>
      </c>
      <c r="G90" t="s">
        <v>193</v>
      </c>
      <c r="H90" t="b">
        <v>1</v>
      </c>
      <c r="I90">
        <v>1</v>
      </c>
      <c r="J90" t="s">
        <v>194</v>
      </c>
      <c r="K90" s="40" t="b">
        <v>0</v>
      </c>
      <c r="L90" t="s">
        <v>207</v>
      </c>
    </row>
    <row r="91" spans="1:12" x14ac:dyDescent="0.3">
      <c r="A91" t="s">
        <v>0</v>
      </c>
      <c r="B91" s="25" t="s">
        <v>1</v>
      </c>
      <c r="C91">
        <v>2025</v>
      </c>
      <c r="D91" t="s">
        <v>46</v>
      </c>
      <c r="E91" t="s">
        <v>211</v>
      </c>
      <c r="F91">
        <v>27</v>
      </c>
      <c r="G91" t="s">
        <v>193</v>
      </c>
      <c r="H91" t="b">
        <v>1</v>
      </c>
      <c r="I91">
        <v>1</v>
      </c>
      <c r="J91" t="s">
        <v>194</v>
      </c>
      <c r="K91" s="40" t="b">
        <v>0</v>
      </c>
      <c r="L91" t="s">
        <v>207</v>
      </c>
    </row>
    <row r="92" spans="1:12" x14ac:dyDescent="0.3">
      <c r="A92" t="s">
        <v>0</v>
      </c>
      <c r="B92" s="25" t="s">
        <v>1</v>
      </c>
      <c r="C92">
        <v>2025</v>
      </c>
      <c r="D92" t="s">
        <v>47</v>
      </c>
      <c r="E92" t="s">
        <v>211</v>
      </c>
      <c r="F92">
        <v>119</v>
      </c>
      <c r="G92" t="s">
        <v>193</v>
      </c>
      <c r="H92" t="b">
        <v>1</v>
      </c>
      <c r="I92">
        <v>1</v>
      </c>
      <c r="J92" t="s">
        <v>194</v>
      </c>
      <c r="K92" s="40" t="b">
        <v>0</v>
      </c>
      <c r="L92" t="s">
        <v>207</v>
      </c>
    </row>
    <row r="93" spans="1:12" x14ac:dyDescent="0.3">
      <c r="A93" t="s">
        <v>0</v>
      </c>
      <c r="B93" s="25" t="s">
        <v>1</v>
      </c>
      <c r="C93">
        <v>2025</v>
      </c>
      <c r="D93" t="s">
        <v>48</v>
      </c>
      <c r="E93" t="s">
        <v>211</v>
      </c>
      <c r="F93">
        <v>63</v>
      </c>
      <c r="G93" t="s">
        <v>193</v>
      </c>
      <c r="H93" t="b">
        <v>1</v>
      </c>
      <c r="I93">
        <v>1</v>
      </c>
      <c r="J93" t="s">
        <v>194</v>
      </c>
      <c r="K93" s="40" t="b">
        <v>0</v>
      </c>
      <c r="L93" t="s">
        <v>207</v>
      </c>
    </row>
    <row r="94" spans="1:12" x14ac:dyDescent="0.3">
      <c r="A94" t="s">
        <v>0</v>
      </c>
      <c r="B94" s="25" t="s">
        <v>1</v>
      </c>
      <c r="C94">
        <v>2025</v>
      </c>
      <c r="D94" t="s">
        <v>49</v>
      </c>
      <c r="E94" t="s">
        <v>211</v>
      </c>
      <c r="F94">
        <v>118</v>
      </c>
      <c r="G94" t="s">
        <v>193</v>
      </c>
      <c r="H94" t="b">
        <v>1</v>
      </c>
      <c r="I94">
        <v>1</v>
      </c>
      <c r="J94" t="s">
        <v>194</v>
      </c>
      <c r="K94" s="40" t="b">
        <v>0</v>
      </c>
      <c r="L94" t="s">
        <v>207</v>
      </c>
    </row>
    <row r="95" spans="1:12" x14ac:dyDescent="0.3">
      <c r="A95" t="s">
        <v>0</v>
      </c>
      <c r="B95" s="25" t="s">
        <v>1</v>
      </c>
      <c r="C95">
        <v>2025</v>
      </c>
      <c r="D95" t="s">
        <v>50</v>
      </c>
      <c r="E95" t="s">
        <v>211</v>
      </c>
      <c r="F95">
        <v>93</v>
      </c>
      <c r="G95" t="s">
        <v>193</v>
      </c>
      <c r="H95" t="b">
        <v>1</v>
      </c>
      <c r="I95">
        <v>1</v>
      </c>
      <c r="J95" t="s">
        <v>194</v>
      </c>
      <c r="K95" s="40" t="b">
        <v>0</v>
      </c>
      <c r="L95" t="s">
        <v>207</v>
      </c>
    </row>
    <row r="96" spans="1:12" x14ac:dyDescent="0.3">
      <c r="A96" t="s">
        <v>0</v>
      </c>
      <c r="B96" s="25" t="s">
        <v>1</v>
      </c>
      <c r="C96">
        <v>2025</v>
      </c>
      <c r="D96" t="s">
        <v>51</v>
      </c>
      <c r="E96" t="s">
        <v>211</v>
      </c>
      <c r="F96">
        <v>82</v>
      </c>
      <c r="G96" t="s">
        <v>193</v>
      </c>
      <c r="H96" t="b">
        <v>1</v>
      </c>
      <c r="I96">
        <v>1</v>
      </c>
      <c r="J96" t="s">
        <v>194</v>
      </c>
      <c r="K96" s="40" t="b">
        <v>0</v>
      </c>
      <c r="L96" t="s">
        <v>207</v>
      </c>
    </row>
    <row r="97" spans="1:12" x14ac:dyDescent="0.3">
      <c r="A97" t="s">
        <v>0</v>
      </c>
      <c r="B97" s="25" t="s">
        <v>1</v>
      </c>
      <c r="C97">
        <v>2025</v>
      </c>
      <c r="D97" t="s">
        <v>52</v>
      </c>
      <c r="E97" t="s">
        <v>211</v>
      </c>
      <c r="F97">
        <v>20</v>
      </c>
      <c r="G97" t="s">
        <v>193</v>
      </c>
      <c r="H97" t="b">
        <v>1</v>
      </c>
      <c r="I97">
        <v>1</v>
      </c>
      <c r="J97" t="s">
        <v>194</v>
      </c>
      <c r="K97" s="40" t="b">
        <v>0</v>
      </c>
      <c r="L97" t="s">
        <v>207</v>
      </c>
    </row>
    <row r="98" spans="1:12" x14ac:dyDescent="0.3">
      <c r="A98" t="s">
        <v>0</v>
      </c>
      <c r="B98" s="25" t="s">
        <v>1</v>
      </c>
      <c r="C98">
        <v>2025</v>
      </c>
      <c r="D98" t="s">
        <v>53</v>
      </c>
      <c r="E98" t="s">
        <v>211</v>
      </c>
      <c r="F98">
        <v>54</v>
      </c>
      <c r="G98" t="s">
        <v>193</v>
      </c>
      <c r="H98" t="b">
        <v>1</v>
      </c>
      <c r="I98">
        <v>1</v>
      </c>
      <c r="J98" t="s">
        <v>194</v>
      </c>
      <c r="K98" s="40" t="b">
        <v>0</v>
      </c>
      <c r="L98" t="s">
        <v>207</v>
      </c>
    </row>
    <row r="99" spans="1:12" x14ac:dyDescent="0.3">
      <c r="A99" t="s">
        <v>0</v>
      </c>
      <c r="B99" s="25" t="s">
        <v>1</v>
      </c>
      <c r="C99">
        <v>2025</v>
      </c>
      <c r="D99" t="s">
        <v>54</v>
      </c>
      <c r="E99" t="s">
        <v>211</v>
      </c>
      <c r="F99">
        <v>76</v>
      </c>
      <c r="G99" t="s">
        <v>193</v>
      </c>
      <c r="H99" t="b">
        <v>1</v>
      </c>
      <c r="I99">
        <v>1</v>
      </c>
      <c r="J99" t="s">
        <v>194</v>
      </c>
      <c r="K99" s="40" t="b">
        <v>0</v>
      </c>
      <c r="L99" t="s">
        <v>207</v>
      </c>
    </row>
    <row r="100" spans="1:12" x14ac:dyDescent="0.3">
      <c r="A100" t="s">
        <v>0</v>
      </c>
      <c r="B100" s="25" t="s">
        <v>1</v>
      </c>
      <c r="C100">
        <v>2025</v>
      </c>
      <c r="D100" t="s">
        <v>55</v>
      </c>
      <c r="E100" t="s">
        <v>211</v>
      </c>
      <c r="F100">
        <v>96</v>
      </c>
      <c r="G100" t="s">
        <v>193</v>
      </c>
      <c r="H100" t="b">
        <v>1</v>
      </c>
      <c r="I100">
        <v>1</v>
      </c>
      <c r="J100" t="s">
        <v>194</v>
      </c>
      <c r="K100" s="40" t="b">
        <v>0</v>
      </c>
      <c r="L100" t="s">
        <v>207</v>
      </c>
    </row>
    <row r="101" spans="1:12" x14ac:dyDescent="0.3">
      <c r="A101" t="s">
        <v>0</v>
      </c>
      <c r="B101" s="25" t="s">
        <v>1</v>
      </c>
      <c r="C101">
        <v>2025</v>
      </c>
      <c r="D101" t="s">
        <v>56</v>
      </c>
      <c r="E101" t="s">
        <v>211</v>
      </c>
      <c r="F101">
        <v>94</v>
      </c>
      <c r="G101" t="s">
        <v>193</v>
      </c>
      <c r="H101" t="b">
        <v>1</v>
      </c>
      <c r="I101">
        <v>1</v>
      </c>
      <c r="J101" t="s">
        <v>194</v>
      </c>
      <c r="K101" s="40" t="b">
        <v>0</v>
      </c>
      <c r="L101" t="s">
        <v>207</v>
      </c>
    </row>
    <row r="102" spans="1:12" x14ac:dyDescent="0.3">
      <c r="B102" s="25"/>
      <c r="K102" s="40"/>
    </row>
    <row r="103" spans="1:12" x14ac:dyDescent="0.3">
      <c r="A103" t="s">
        <v>0</v>
      </c>
      <c r="B103" s="25" t="s">
        <v>1</v>
      </c>
      <c r="C103">
        <v>2025</v>
      </c>
      <c r="D103" t="s">
        <v>2</v>
      </c>
      <c r="E103" t="s">
        <v>212</v>
      </c>
      <c r="F103">
        <v>94</v>
      </c>
      <c r="G103" t="s">
        <v>193</v>
      </c>
      <c r="H103" t="b">
        <v>1</v>
      </c>
      <c r="I103">
        <v>1</v>
      </c>
      <c r="J103" t="s">
        <v>194</v>
      </c>
      <c r="K103" s="40" t="b">
        <v>0</v>
      </c>
      <c r="L103" t="s">
        <v>213</v>
      </c>
    </row>
    <row r="104" spans="1:12" x14ac:dyDescent="0.3">
      <c r="A104" t="s">
        <v>0</v>
      </c>
      <c r="B104" s="25" t="s">
        <v>1</v>
      </c>
      <c r="C104">
        <v>2025</v>
      </c>
      <c r="D104" t="s">
        <v>46</v>
      </c>
      <c r="E104" t="s">
        <v>212</v>
      </c>
      <c r="F104">
        <v>89</v>
      </c>
      <c r="G104" t="s">
        <v>193</v>
      </c>
      <c r="H104" t="b">
        <v>1</v>
      </c>
      <c r="I104">
        <v>1</v>
      </c>
      <c r="J104" t="s">
        <v>194</v>
      </c>
      <c r="K104" s="40" t="b">
        <v>0</v>
      </c>
      <c r="L104" t="s">
        <v>213</v>
      </c>
    </row>
    <row r="105" spans="1:12" x14ac:dyDescent="0.3">
      <c r="A105" t="s">
        <v>0</v>
      </c>
      <c r="B105" s="25" t="s">
        <v>1</v>
      </c>
      <c r="C105">
        <v>2025</v>
      </c>
      <c r="D105" t="s">
        <v>47</v>
      </c>
      <c r="E105" t="s">
        <v>212</v>
      </c>
      <c r="F105">
        <v>103</v>
      </c>
      <c r="G105" t="s">
        <v>193</v>
      </c>
      <c r="H105" t="b">
        <v>1</v>
      </c>
      <c r="I105">
        <v>1</v>
      </c>
      <c r="J105" t="s">
        <v>194</v>
      </c>
      <c r="K105" s="40" t="b">
        <v>0</v>
      </c>
      <c r="L105" t="s">
        <v>213</v>
      </c>
    </row>
    <row r="106" spans="1:12" x14ac:dyDescent="0.3">
      <c r="A106" t="s">
        <v>0</v>
      </c>
      <c r="B106" s="25" t="s">
        <v>1</v>
      </c>
      <c r="C106">
        <v>2025</v>
      </c>
      <c r="D106" t="s">
        <v>48</v>
      </c>
      <c r="E106" t="s">
        <v>212</v>
      </c>
      <c r="F106">
        <v>37</v>
      </c>
      <c r="G106" t="s">
        <v>193</v>
      </c>
      <c r="H106" t="b">
        <v>1</v>
      </c>
      <c r="I106">
        <v>1</v>
      </c>
      <c r="J106" t="s">
        <v>194</v>
      </c>
      <c r="K106" s="40" t="b">
        <v>0</v>
      </c>
      <c r="L106" t="s">
        <v>213</v>
      </c>
    </row>
    <row r="107" spans="1:12" x14ac:dyDescent="0.3">
      <c r="A107" t="s">
        <v>0</v>
      </c>
      <c r="B107" s="25" t="s">
        <v>1</v>
      </c>
      <c r="C107">
        <v>2025</v>
      </c>
      <c r="D107" t="s">
        <v>49</v>
      </c>
      <c r="E107" t="s">
        <v>212</v>
      </c>
      <c r="F107">
        <v>65</v>
      </c>
      <c r="G107" t="s">
        <v>193</v>
      </c>
      <c r="H107" t="b">
        <v>1</v>
      </c>
      <c r="I107">
        <v>1</v>
      </c>
      <c r="J107" t="s">
        <v>194</v>
      </c>
      <c r="K107" s="40" t="b">
        <v>0</v>
      </c>
      <c r="L107" t="s">
        <v>213</v>
      </c>
    </row>
    <row r="108" spans="1:12" x14ac:dyDescent="0.3">
      <c r="A108" t="s">
        <v>0</v>
      </c>
      <c r="B108" s="25" t="s">
        <v>1</v>
      </c>
      <c r="C108">
        <v>2025</v>
      </c>
      <c r="D108" t="s">
        <v>50</v>
      </c>
      <c r="E108" t="s">
        <v>212</v>
      </c>
      <c r="F108">
        <v>21</v>
      </c>
      <c r="G108" t="s">
        <v>193</v>
      </c>
      <c r="H108" t="b">
        <v>1</v>
      </c>
      <c r="I108">
        <v>1</v>
      </c>
      <c r="J108" t="s">
        <v>194</v>
      </c>
      <c r="K108" s="40" t="b">
        <v>0</v>
      </c>
      <c r="L108" t="s">
        <v>213</v>
      </c>
    </row>
    <row r="109" spans="1:12" x14ac:dyDescent="0.3">
      <c r="A109" t="s">
        <v>0</v>
      </c>
      <c r="B109" s="25" t="s">
        <v>1</v>
      </c>
      <c r="C109">
        <v>2025</v>
      </c>
      <c r="D109" t="s">
        <v>51</v>
      </c>
      <c r="E109" t="s">
        <v>212</v>
      </c>
      <c r="F109">
        <v>45</v>
      </c>
      <c r="G109" t="s">
        <v>193</v>
      </c>
      <c r="H109" t="b">
        <v>1</v>
      </c>
      <c r="I109">
        <v>1</v>
      </c>
      <c r="J109" t="s">
        <v>194</v>
      </c>
      <c r="K109" s="40" t="b">
        <v>0</v>
      </c>
      <c r="L109" t="s">
        <v>213</v>
      </c>
    </row>
    <row r="110" spans="1:12" x14ac:dyDescent="0.3">
      <c r="A110" t="s">
        <v>0</v>
      </c>
      <c r="B110" s="25" t="s">
        <v>1</v>
      </c>
      <c r="C110">
        <v>2025</v>
      </c>
      <c r="D110" t="s">
        <v>52</v>
      </c>
      <c r="E110" t="s">
        <v>212</v>
      </c>
      <c r="F110">
        <v>70</v>
      </c>
      <c r="G110" t="s">
        <v>193</v>
      </c>
      <c r="H110" t="b">
        <v>1</v>
      </c>
      <c r="I110">
        <v>1</v>
      </c>
      <c r="J110" t="s">
        <v>194</v>
      </c>
      <c r="K110" s="40" t="b">
        <v>0</v>
      </c>
      <c r="L110" t="s">
        <v>213</v>
      </c>
    </row>
    <row r="111" spans="1:12" x14ac:dyDescent="0.3">
      <c r="A111" t="s">
        <v>0</v>
      </c>
      <c r="B111" s="25" t="s">
        <v>1</v>
      </c>
      <c r="C111">
        <v>2025</v>
      </c>
      <c r="D111" t="s">
        <v>53</v>
      </c>
      <c r="E111" t="s">
        <v>212</v>
      </c>
      <c r="F111">
        <v>56</v>
      </c>
      <c r="G111" t="s">
        <v>193</v>
      </c>
      <c r="H111" t="b">
        <v>1</v>
      </c>
      <c r="I111">
        <v>1</v>
      </c>
      <c r="J111" t="s">
        <v>194</v>
      </c>
      <c r="K111" s="40" t="b">
        <v>0</v>
      </c>
      <c r="L111" t="s">
        <v>213</v>
      </c>
    </row>
    <row r="112" spans="1:12" x14ac:dyDescent="0.3">
      <c r="A112" t="s">
        <v>0</v>
      </c>
      <c r="B112" s="25" t="s">
        <v>1</v>
      </c>
      <c r="C112">
        <v>2025</v>
      </c>
      <c r="D112" t="s">
        <v>54</v>
      </c>
      <c r="E112" t="s">
        <v>212</v>
      </c>
      <c r="F112">
        <v>59</v>
      </c>
      <c r="G112" t="s">
        <v>193</v>
      </c>
      <c r="H112" t="b">
        <v>1</v>
      </c>
      <c r="I112">
        <v>1</v>
      </c>
      <c r="J112" t="s">
        <v>194</v>
      </c>
      <c r="K112" s="40" t="b">
        <v>0</v>
      </c>
      <c r="L112" t="s">
        <v>213</v>
      </c>
    </row>
    <row r="113" spans="1:12" x14ac:dyDescent="0.3">
      <c r="A113" t="s">
        <v>0</v>
      </c>
      <c r="B113" s="25" t="s">
        <v>1</v>
      </c>
      <c r="C113">
        <v>2025</v>
      </c>
      <c r="D113" t="s">
        <v>55</v>
      </c>
      <c r="E113" t="s">
        <v>212</v>
      </c>
      <c r="F113">
        <v>54</v>
      </c>
      <c r="G113" t="s">
        <v>193</v>
      </c>
      <c r="H113" t="b">
        <v>1</v>
      </c>
      <c r="I113">
        <v>1</v>
      </c>
      <c r="J113" t="s">
        <v>194</v>
      </c>
      <c r="K113" s="40" t="b">
        <v>0</v>
      </c>
      <c r="L113" t="s">
        <v>213</v>
      </c>
    </row>
    <row r="114" spans="1:12" x14ac:dyDescent="0.3">
      <c r="A114" t="s">
        <v>0</v>
      </c>
      <c r="B114" s="25" t="s">
        <v>1</v>
      </c>
      <c r="C114">
        <v>2025</v>
      </c>
      <c r="D114" t="s">
        <v>56</v>
      </c>
      <c r="E114" t="s">
        <v>212</v>
      </c>
      <c r="F114">
        <v>101</v>
      </c>
      <c r="G114" t="s">
        <v>193</v>
      </c>
      <c r="H114" t="b">
        <v>1</v>
      </c>
      <c r="I114">
        <v>1</v>
      </c>
      <c r="J114" t="s">
        <v>194</v>
      </c>
      <c r="K114" s="40" t="b">
        <v>0</v>
      </c>
      <c r="L114" t="s">
        <v>213</v>
      </c>
    </row>
    <row r="115" spans="1:12" x14ac:dyDescent="0.3">
      <c r="B115" s="25"/>
      <c r="K115" s="40"/>
    </row>
    <row r="116" spans="1:12" x14ac:dyDescent="0.3">
      <c r="A116" t="s">
        <v>0</v>
      </c>
      <c r="B116" s="25" t="s">
        <v>1</v>
      </c>
      <c r="C116">
        <v>2025</v>
      </c>
      <c r="D116" t="s">
        <v>2</v>
      </c>
      <c r="E116" t="s">
        <v>214</v>
      </c>
      <c r="F116">
        <v>30</v>
      </c>
      <c r="G116" t="s">
        <v>193</v>
      </c>
      <c r="H116" t="b">
        <v>1</v>
      </c>
      <c r="I116">
        <v>1</v>
      </c>
      <c r="J116" t="s">
        <v>194</v>
      </c>
      <c r="K116" s="40" t="b">
        <v>0</v>
      </c>
      <c r="L116" t="s">
        <v>203</v>
      </c>
    </row>
    <row r="117" spans="1:12" x14ac:dyDescent="0.3">
      <c r="A117" t="s">
        <v>0</v>
      </c>
      <c r="B117" s="25" t="s">
        <v>1</v>
      </c>
      <c r="C117">
        <v>2025</v>
      </c>
      <c r="D117" t="s">
        <v>46</v>
      </c>
      <c r="E117" t="s">
        <v>214</v>
      </c>
      <c r="F117">
        <v>40</v>
      </c>
      <c r="G117" t="s">
        <v>193</v>
      </c>
      <c r="H117" t="b">
        <v>1</v>
      </c>
      <c r="I117">
        <v>1</v>
      </c>
      <c r="J117" t="s">
        <v>194</v>
      </c>
      <c r="K117" s="40" t="b">
        <v>0</v>
      </c>
      <c r="L117" t="s">
        <v>203</v>
      </c>
    </row>
    <row r="118" spans="1:12" x14ac:dyDescent="0.3">
      <c r="A118" t="s">
        <v>0</v>
      </c>
      <c r="B118" s="25" t="s">
        <v>1</v>
      </c>
      <c r="C118">
        <v>2025</v>
      </c>
      <c r="D118" t="s">
        <v>47</v>
      </c>
      <c r="E118" t="s">
        <v>214</v>
      </c>
      <c r="F118">
        <v>41</v>
      </c>
      <c r="G118" t="s">
        <v>193</v>
      </c>
      <c r="H118" t="b">
        <v>1</v>
      </c>
      <c r="I118">
        <v>1</v>
      </c>
      <c r="J118" t="s">
        <v>194</v>
      </c>
      <c r="K118" s="40" t="b">
        <v>0</v>
      </c>
      <c r="L118" t="s">
        <v>203</v>
      </c>
    </row>
    <row r="119" spans="1:12" x14ac:dyDescent="0.3">
      <c r="A119" t="s">
        <v>0</v>
      </c>
      <c r="B119" s="25" t="s">
        <v>1</v>
      </c>
      <c r="C119">
        <v>2025</v>
      </c>
      <c r="D119" t="s">
        <v>48</v>
      </c>
      <c r="E119" t="s">
        <v>214</v>
      </c>
      <c r="F119">
        <v>28</v>
      </c>
      <c r="G119" t="s">
        <v>193</v>
      </c>
      <c r="H119" t="b">
        <v>1</v>
      </c>
      <c r="I119">
        <v>1</v>
      </c>
      <c r="J119" t="s">
        <v>194</v>
      </c>
      <c r="K119" s="40" t="b">
        <v>0</v>
      </c>
      <c r="L119" t="s">
        <v>203</v>
      </c>
    </row>
    <row r="120" spans="1:12" x14ac:dyDescent="0.3">
      <c r="A120" t="s">
        <v>0</v>
      </c>
      <c r="B120" s="25" t="s">
        <v>1</v>
      </c>
      <c r="C120">
        <v>2025</v>
      </c>
      <c r="D120" t="s">
        <v>49</v>
      </c>
      <c r="E120" t="s">
        <v>214</v>
      </c>
      <c r="F120">
        <v>45</v>
      </c>
      <c r="G120" t="s">
        <v>193</v>
      </c>
      <c r="H120" t="b">
        <v>1</v>
      </c>
      <c r="I120">
        <v>1</v>
      </c>
      <c r="J120" t="s">
        <v>194</v>
      </c>
      <c r="K120" s="40" t="b">
        <v>0</v>
      </c>
      <c r="L120" t="s">
        <v>203</v>
      </c>
    </row>
    <row r="121" spans="1:12" x14ac:dyDescent="0.3">
      <c r="A121" t="s">
        <v>0</v>
      </c>
      <c r="B121" s="25" t="s">
        <v>1</v>
      </c>
      <c r="C121">
        <v>2025</v>
      </c>
      <c r="D121" t="s">
        <v>50</v>
      </c>
      <c r="E121" t="s">
        <v>214</v>
      </c>
      <c r="F121">
        <v>22</v>
      </c>
      <c r="G121" t="s">
        <v>193</v>
      </c>
      <c r="H121" t="b">
        <v>1</v>
      </c>
      <c r="I121">
        <v>1</v>
      </c>
      <c r="J121" t="s">
        <v>194</v>
      </c>
      <c r="K121" s="40" t="b">
        <v>0</v>
      </c>
      <c r="L121" t="s">
        <v>203</v>
      </c>
    </row>
    <row r="122" spans="1:12" x14ac:dyDescent="0.3">
      <c r="A122" t="s">
        <v>0</v>
      </c>
      <c r="B122" s="25" t="s">
        <v>1</v>
      </c>
      <c r="C122">
        <v>2025</v>
      </c>
      <c r="D122" t="s">
        <v>51</v>
      </c>
      <c r="E122" t="s">
        <v>214</v>
      </c>
      <c r="F122">
        <v>27</v>
      </c>
      <c r="G122" t="s">
        <v>193</v>
      </c>
      <c r="H122" t="b">
        <v>1</v>
      </c>
      <c r="I122">
        <v>1</v>
      </c>
      <c r="J122" t="s">
        <v>194</v>
      </c>
      <c r="K122" s="40" t="b">
        <v>0</v>
      </c>
      <c r="L122" t="s">
        <v>203</v>
      </c>
    </row>
    <row r="123" spans="1:12" x14ac:dyDescent="0.3">
      <c r="A123" t="s">
        <v>0</v>
      </c>
      <c r="B123" s="25" t="s">
        <v>1</v>
      </c>
      <c r="C123">
        <v>2025</v>
      </c>
      <c r="D123" t="s">
        <v>52</v>
      </c>
      <c r="E123" t="s">
        <v>214</v>
      </c>
      <c r="F123">
        <v>47</v>
      </c>
      <c r="G123" t="s">
        <v>193</v>
      </c>
      <c r="H123" t="b">
        <v>1</v>
      </c>
      <c r="I123">
        <v>1</v>
      </c>
      <c r="J123" t="s">
        <v>194</v>
      </c>
      <c r="K123" s="40" t="b">
        <v>0</v>
      </c>
      <c r="L123" t="s">
        <v>203</v>
      </c>
    </row>
    <row r="124" spans="1:12" x14ac:dyDescent="0.3">
      <c r="A124" t="s">
        <v>0</v>
      </c>
      <c r="B124" s="25" t="s">
        <v>1</v>
      </c>
      <c r="C124">
        <v>2025</v>
      </c>
      <c r="D124" t="s">
        <v>53</v>
      </c>
      <c r="E124" t="s">
        <v>214</v>
      </c>
      <c r="F124">
        <v>33</v>
      </c>
      <c r="G124" t="s">
        <v>193</v>
      </c>
      <c r="H124" t="b">
        <v>1</v>
      </c>
      <c r="I124">
        <v>1</v>
      </c>
      <c r="J124" t="s">
        <v>194</v>
      </c>
      <c r="K124" s="40" t="b">
        <v>0</v>
      </c>
      <c r="L124" t="s">
        <v>203</v>
      </c>
    </row>
    <row r="125" spans="1:12" x14ac:dyDescent="0.3">
      <c r="A125" t="s">
        <v>0</v>
      </c>
      <c r="B125" s="25" t="s">
        <v>1</v>
      </c>
      <c r="C125">
        <v>2025</v>
      </c>
      <c r="D125" t="s">
        <v>54</v>
      </c>
      <c r="E125" t="s">
        <v>214</v>
      </c>
      <c r="F125">
        <v>49</v>
      </c>
      <c r="G125" t="s">
        <v>193</v>
      </c>
      <c r="H125" t="b">
        <v>1</v>
      </c>
      <c r="I125">
        <v>1</v>
      </c>
      <c r="J125" t="s">
        <v>194</v>
      </c>
      <c r="K125" s="40" t="b">
        <v>0</v>
      </c>
      <c r="L125" t="s">
        <v>203</v>
      </c>
    </row>
    <row r="126" spans="1:12" x14ac:dyDescent="0.3">
      <c r="A126" t="s">
        <v>0</v>
      </c>
      <c r="B126" s="25" t="s">
        <v>1</v>
      </c>
      <c r="C126">
        <v>2025</v>
      </c>
      <c r="D126" t="s">
        <v>55</v>
      </c>
      <c r="E126" t="s">
        <v>214</v>
      </c>
      <c r="F126">
        <v>21</v>
      </c>
      <c r="G126" t="s">
        <v>193</v>
      </c>
      <c r="H126" t="b">
        <v>1</v>
      </c>
      <c r="I126">
        <v>1</v>
      </c>
      <c r="J126" t="s">
        <v>194</v>
      </c>
      <c r="K126" s="40" t="b">
        <v>0</v>
      </c>
      <c r="L126" t="s">
        <v>203</v>
      </c>
    </row>
    <row r="127" spans="1:12" x14ac:dyDescent="0.3">
      <c r="A127" t="s">
        <v>0</v>
      </c>
      <c r="B127" s="25" t="s">
        <v>1</v>
      </c>
      <c r="C127">
        <v>2025</v>
      </c>
      <c r="D127" t="s">
        <v>56</v>
      </c>
      <c r="E127" t="s">
        <v>214</v>
      </c>
      <c r="F127">
        <v>37</v>
      </c>
      <c r="G127" t="s">
        <v>193</v>
      </c>
      <c r="H127" t="b">
        <v>1</v>
      </c>
      <c r="I127">
        <v>1</v>
      </c>
      <c r="J127" t="s">
        <v>194</v>
      </c>
      <c r="K127" s="40" t="b">
        <v>0</v>
      </c>
      <c r="L127" t="s">
        <v>203</v>
      </c>
    </row>
    <row r="130" spans="1:12" x14ac:dyDescent="0.3">
      <c r="A130" t="s">
        <v>60</v>
      </c>
      <c r="B130" s="56" t="s">
        <v>61</v>
      </c>
      <c r="C130">
        <v>2025</v>
      </c>
      <c r="D130" t="s">
        <v>2</v>
      </c>
      <c r="E130" t="s">
        <v>202</v>
      </c>
      <c r="F130">
        <v>102</v>
      </c>
      <c r="G130" t="s">
        <v>193</v>
      </c>
      <c r="H130" t="b">
        <v>1</v>
      </c>
      <c r="I130">
        <v>1</v>
      </c>
      <c r="J130" t="s">
        <v>194</v>
      </c>
      <c r="K130" s="40" t="b">
        <v>0</v>
      </c>
      <c r="L130" t="s">
        <v>203</v>
      </c>
    </row>
    <row r="131" spans="1:12" x14ac:dyDescent="0.3">
      <c r="A131" t="s">
        <v>60</v>
      </c>
      <c r="B131" s="56" t="s">
        <v>61</v>
      </c>
      <c r="C131">
        <v>2025</v>
      </c>
      <c r="D131" t="s">
        <v>46</v>
      </c>
      <c r="E131" t="s">
        <v>202</v>
      </c>
      <c r="F131">
        <v>58</v>
      </c>
      <c r="G131" t="s">
        <v>193</v>
      </c>
      <c r="H131" t="b">
        <v>1</v>
      </c>
      <c r="I131">
        <v>1</v>
      </c>
      <c r="J131" t="s">
        <v>194</v>
      </c>
      <c r="K131" s="40" t="b">
        <v>0</v>
      </c>
      <c r="L131" t="s">
        <v>203</v>
      </c>
    </row>
    <row r="132" spans="1:12" x14ac:dyDescent="0.3">
      <c r="A132" t="s">
        <v>60</v>
      </c>
      <c r="B132" s="56" t="s">
        <v>61</v>
      </c>
      <c r="C132">
        <v>2025</v>
      </c>
      <c r="D132" t="s">
        <v>47</v>
      </c>
      <c r="E132" t="s">
        <v>202</v>
      </c>
      <c r="F132">
        <v>55</v>
      </c>
      <c r="G132" t="s">
        <v>193</v>
      </c>
      <c r="H132" t="b">
        <v>1</v>
      </c>
      <c r="I132">
        <v>1</v>
      </c>
      <c r="J132" t="s">
        <v>194</v>
      </c>
      <c r="K132" s="40" t="b">
        <v>0</v>
      </c>
      <c r="L132" t="s">
        <v>203</v>
      </c>
    </row>
    <row r="133" spans="1:12" x14ac:dyDescent="0.3">
      <c r="A133" t="s">
        <v>60</v>
      </c>
      <c r="B133" s="56" t="s">
        <v>61</v>
      </c>
      <c r="C133">
        <v>2025</v>
      </c>
      <c r="D133" t="s">
        <v>48</v>
      </c>
      <c r="E133" t="s">
        <v>202</v>
      </c>
      <c r="F133">
        <v>62</v>
      </c>
      <c r="G133" t="s">
        <v>193</v>
      </c>
      <c r="H133" t="b">
        <v>1</v>
      </c>
      <c r="I133">
        <v>1</v>
      </c>
      <c r="J133" t="s">
        <v>194</v>
      </c>
      <c r="K133" s="40" t="b">
        <v>0</v>
      </c>
      <c r="L133" t="s">
        <v>203</v>
      </c>
    </row>
    <row r="134" spans="1:12" x14ac:dyDescent="0.3">
      <c r="A134" t="s">
        <v>60</v>
      </c>
      <c r="B134" s="56" t="s">
        <v>61</v>
      </c>
      <c r="C134">
        <v>2025</v>
      </c>
      <c r="D134" t="s">
        <v>49</v>
      </c>
      <c r="E134" t="s">
        <v>202</v>
      </c>
      <c r="F134">
        <v>65</v>
      </c>
      <c r="G134" t="s">
        <v>193</v>
      </c>
      <c r="H134" t="b">
        <v>1</v>
      </c>
      <c r="I134">
        <v>1</v>
      </c>
      <c r="J134" t="s">
        <v>194</v>
      </c>
      <c r="K134" s="40" t="b">
        <v>0</v>
      </c>
      <c r="L134" t="s">
        <v>203</v>
      </c>
    </row>
    <row r="135" spans="1:12" x14ac:dyDescent="0.3">
      <c r="A135" t="s">
        <v>60</v>
      </c>
      <c r="B135" s="56" t="s">
        <v>61</v>
      </c>
      <c r="C135">
        <v>2025</v>
      </c>
      <c r="D135" t="s">
        <v>50</v>
      </c>
      <c r="E135" t="s">
        <v>202</v>
      </c>
      <c r="F135">
        <v>26</v>
      </c>
      <c r="G135" t="s">
        <v>193</v>
      </c>
      <c r="H135" t="b">
        <v>1</v>
      </c>
      <c r="I135">
        <v>1</v>
      </c>
      <c r="J135" t="s">
        <v>194</v>
      </c>
      <c r="K135" s="40" t="b">
        <v>0</v>
      </c>
      <c r="L135" t="s">
        <v>203</v>
      </c>
    </row>
    <row r="136" spans="1:12" x14ac:dyDescent="0.3">
      <c r="A136" t="s">
        <v>60</v>
      </c>
      <c r="B136" s="56" t="s">
        <v>61</v>
      </c>
      <c r="C136">
        <v>2025</v>
      </c>
      <c r="D136" t="s">
        <v>51</v>
      </c>
      <c r="E136" t="s">
        <v>202</v>
      </c>
      <c r="F136">
        <v>23</v>
      </c>
      <c r="G136" t="s">
        <v>193</v>
      </c>
      <c r="H136" t="b">
        <v>1</v>
      </c>
      <c r="I136">
        <v>1</v>
      </c>
      <c r="J136" t="s">
        <v>194</v>
      </c>
      <c r="K136" s="40" t="b">
        <v>0</v>
      </c>
      <c r="L136" t="s">
        <v>203</v>
      </c>
    </row>
    <row r="137" spans="1:12" x14ac:dyDescent="0.3">
      <c r="A137" t="s">
        <v>60</v>
      </c>
      <c r="B137" s="56" t="s">
        <v>61</v>
      </c>
      <c r="C137">
        <v>2025</v>
      </c>
      <c r="D137" t="s">
        <v>52</v>
      </c>
      <c r="E137" t="s">
        <v>202</v>
      </c>
      <c r="F137">
        <v>20</v>
      </c>
      <c r="G137" t="s">
        <v>193</v>
      </c>
      <c r="H137" t="b">
        <v>1</v>
      </c>
      <c r="I137">
        <v>1</v>
      </c>
      <c r="J137" t="s">
        <v>194</v>
      </c>
      <c r="K137" s="40" t="b">
        <v>0</v>
      </c>
      <c r="L137" t="s">
        <v>203</v>
      </c>
    </row>
    <row r="138" spans="1:12" x14ac:dyDescent="0.3">
      <c r="A138" t="s">
        <v>60</v>
      </c>
      <c r="B138" s="56" t="s">
        <v>61</v>
      </c>
      <c r="C138">
        <v>2025</v>
      </c>
      <c r="D138" t="s">
        <v>53</v>
      </c>
      <c r="E138" t="s">
        <v>202</v>
      </c>
      <c r="F138">
        <v>50</v>
      </c>
      <c r="G138" t="s">
        <v>193</v>
      </c>
      <c r="H138" t="b">
        <v>1</v>
      </c>
      <c r="I138">
        <v>1</v>
      </c>
      <c r="J138" t="s">
        <v>194</v>
      </c>
      <c r="K138" s="40" t="b">
        <v>0</v>
      </c>
      <c r="L138" t="s">
        <v>203</v>
      </c>
    </row>
    <row r="139" spans="1:12" x14ac:dyDescent="0.3">
      <c r="A139" t="s">
        <v>60</v>
      </c>
      <c r="B139" s="56" t="s">
        <v>61</v>
      </c>
      <c r="C139">
        <v>2025</v>
      </c>
      <c r="D139" t="s">
        <v>54</v>
      </c>
      <c r="E139" t="s">
        <v>202</v>
      </c>
      <c r="F139">
        <v>112</v>
      </c>
      <c r="G139" t="s">
        <v>193</v>
      </c>
      <c r="H139" t="b">
        <v>1</v>
      </c>
      <c r="I139">
        <v>1</v>
      </c>
      <c r="J139" t="s">
        <v>194</v>
      </c>
      <c r="K139" s="40" t="b">
        <v>0</v>
      </c>
      <c r="L139" t="s">
        <v>203</v>
      </c>
    </row>
    <row r="140" spans="1:12" x14ac:dyDescent="0.3">
      <c r="A140" t="s">
        <v>60</v>
      </c>
      <c r="B140" s="56" t="s">
        <v>61</v>
      </c>
      <c r="C140">
        <v>2025</v>
      </c>
      <c r="D140" t="s">
        <v>55</v>
      </c>
      <c r="E140" t="s">
        <v>202</v>
      </c>
      <c r="F140">
        <v>34</v>
      </c>
      <c r="G140" t="s">
        <v>193</v>
      </c>
      <c r="H140" t="b">
        <v>1</v>
      </c>
      <c r="I140">
        <v>1</v>
      </c>
      <c r="J140" t="s">
        <v>194</v>
      </c>
      <c r="K140" s="40" t="b">
        <v>0</v>
      </c>
      <c r="L140" t="s">
        <v>203</v>
      </c>
    </row>
    <row r="141" spans="1:12" x14ac:dyDescent="0.3">
      <c r="A141" t="s">
        <v>60</v>
      </c>
      <c r="B141" s="56" t="s">
        <v>61</v>
      </c>
      <c r="C141">
        <v>2025</v>
      </c>
      <c r="D141" t="s">
        <v>56</v>
      </c>
      <c r="E141" t="s">
        <v>202</v>
      </c>
      <c r="F141">
        <v>77</v>
      </c>
      <c r="G141" t="s">
        <v>193</v>
      </c>
      <c r="H141" t="b">
        <v>1</v>
      </c>
      <c r="I141">
        <v>1</v>
      </c>
      <c r="J141" t="s">
        <v>194</v>
      </c>
      <c r="K141" s="40" t="b">
        <v>0</v>
      </c>
      <c r="L141" t="s">
        <v>203</v>
      </c>
    </row>
    <row r="142" spans="1:12" x14ac:dyDescent="0.3">
      <c r="B142" s="56"/>
      <c r="K142" s="40"/>
    </row>
    <row r="143" spans="1:12" x14ac:dyDescent="0.3">
      <c r="A143" t="s">
        <v>60</v>
      </c>
      <c r="B143" s="56" t="s">
        <v>61</v>
      </c>
      <c r="C143">
        <v>2025</v>
      </c>
      <c r="D143" t="s">
        <v>2</v>
      </c>
      <c r="E143" t="s">
        <v>204</v>
      </c>
      <c r="F143">
        <v>81</v>
      </c>
      <c r="G143" t="s">
        <v>193</v>
      </c>
      <c r="H143" t="b">
        <v>1</v>
      </c>
      <c r="I143">
        <v>1</v>
      </c>
      <c r="J143" t="s">
        <v>194</v>
      </c>
      <c r="K143" s="40" t="b">
        <v>0</v>
      </c>
      <c r="L143" t="s">
        <v>203</v>
      </c>
    </row>
    <row r="144" spans="1:12" x14ac:dyDescent="0.3">
      <c r="A144" t="s">
        <v>60</v>
      </c>
      <c r="B144" s="56" t="s">
        <v>61</v>
      </c>
      <c r="C144">
        <v>2025</v>
      </c>
      <c r="D144" t="s">
        <v>46</v>
      </c>
      <c r="E144" t="s">
        <v>204</v>
      </c>
      <c r="F144">
        <v>117</v>
      </c>
      <c r="G144" t="s">
        <v>193</v>
      </c>
      <c r="H144" t="b">
        <v>1</v>
      </c>
      <c r="I144">
        <v>1</v>
      </c>
      <c r="J144" t="s">
        <v>194</v>
      </c>
      <c r="K144" s="40" t="b">
        <v>0</v>
      </c>
      <c r="L144" t="s">
        <v>203</v>
      </c>
    </row>
    <row r="145" spans="1:12" x14ac:dyDescent="0.3">
      <c r="A145" t="s">
        <v>60</v>
      </c>
      <c r="B145" s="56" t="s">
        <v>61</v>
      </c>
      <c r="C145">
        <v>2025</v>
      </c>
      <c r="D145" t="s">
        <v>47</v>
      </c>
      <c r="E145" t="s">
        <v>204</v>
      </c>
      <c r="F145">
        <v>107</v>
      </c>
      <c r="G145" t="s">
        <v>193</v>
      </c>
      <c r="H145" t="b">
        <v>1</v>
      </c>
      <c r="I145">
        <v>1</v>
      </c>
      <c r="J145" t="s">
        <v>194</v>
      </c>
      <c r="K145" s="40" t="b">
        <v>0</v>
      </c>
      <c r="L145" t="s">
        <v>203</v>
      </c>
    </row>
    <row r="146" spans="1:12" x14ac:dyDescent="0.3">
      <c r="A146" t="s">
        <v>60</v>
      </c>
      <c r="B146" s="56" t="s">
        <v>61</v>
      </c>
      <c r="C146">
        <v>2025</v>
      </c>
      <c r="D146" t="s">
        <v>48</v>
      </c>
      <c r="E146" t="s">
        <v>204</v>
      </c>
      <c r="F146">
        <v>113</v>
      </c>
      <c r="G146" t="s">
        <v>193</v>
      </c>
      <c r="H146" t="b">
        <v>1</v>
      </c>
      <c r="I146">
        <v>1</v>
      </c>
      <c r="J146" t="s">
        <v>194</v>
      </c>
      <c r="K146" s="40" t="b">
        <v>0</v>
      </c>
      <c r="L146" t="s">
        <v>203</v>
      </c>
    </row>
    <row r="147" spans="1:12" x14ac:dyDescent="0.3">
      <c r="A147" t="s">
        <v>60</v>
      </c>
      <c r="B147" s="56" t="s">
        <v>61</v>
      </c>
      <c r="C147">
        <v>2025</v>
      </c>
      <c r="D147" t="s">
        <v>49</v>
      </c>
      <c r="E147" t="s">
        <v>204</v>
      </c>
      <c r="F147">
        <v>91</v>
      </c>
      <c r="G147" t="s">
        <v>193</v>
      </c>
      <c r="H147" t="b">
        <v>1</v>
      </c>
      <c r="I147">
        <v>1</v>
      </c>
      <c r="J147" t="s">
        <v>194</v>
      </c>
      <c r="K147" s="40" t="b">
        <v>0</v>
      </c>
      <c r="L147" t="s">
        <v>203</v>
      </c>
    </row>
    <row r="148" spans="1:12" x14ac:dyDescent="0.3">
      <c r="A148" t="s">
        <v>60</v>
      </c>
      <c r="B148" s="56" t="s">
        <v>61</v>
      </c>
      <c r="C148">
        <v>2025</v>
      </c>
      <c r="D148" t="s">
        <v>50</v>
      </c>
      <c r="E148" t="s">
        <v>204</v>
      </c>
      <c r="F148">
        <v>86</v>
      </c>
      <c r="G148" t="s">
        <v>193</v>
      </c>
      <c r="H148" t="b">
        <v>1</v>
      </c>
      <c r="I148">
        <v>1</v>
      </c>
      <c r="J148" t="s">
        <v>194</v>
      </c>
      <c r="K148" s="40" t="b">
        <v>0</v>
      </c>
      <c r="L148" t="s">
        <v>203</v>
      </c>
    </row>
    <row r="149" spans="1:12" x14ac:dyDescent="0.3">
      <c r="A149" t="s">
        <v>60</v>
      </c>
      <c r="B149" s="56" t="s">
        <v>61</v>
      </c>
      <c r="C149">
        <v>2025</v>
      </c>
      <c r="D149" t="s">
        <v>51</v>
      </c>
      <c r="E149" t="s">
        <v>204</v>
      </c>
      <c r="F149">
        <v>53</v>
      </c>
      <c r="G149" t="s">
        <v>193</v>
      </c>
      <c r="H149" t="b">
        <v>1</v>
      </c>
      <c r="I149">
        <v>1</v>
      </c>
      <c r="J149" t="s">
        <v>194</v>
      </c>
      <c r="K149" s="40" t="b">
        <v>0</v>
      </c>
      <c r="L149" t="s">
        <v>203</v>
      </c>
    </row>
    <row r="150" spans="1:12" x14ac:dyDescent="0.3">
      <c r="A150" t="s">
        <v>60</v>
      </c>
      <c r="B150" s="56" t="s">
        <v>61</v>
      </c>
      <c r="C150">
        <v>2025</v>
      </c>
      <c r="D150" t="s">
        <v>52</v>
      </c>
      <c r="E150" t="s">
        <v>204</v>
      </c>
      <c r="F150">
        <v>72</v>
      </c>
      <c r="G150" t="s">
        <v>193</v>
      </c>
      <c r="H150" t="b">
        <v>1</v>
      </c>
      <c r="I150">
        <v>1</v>
      </c>
      <c r="J150" t="s">
        <v>194</v>
      </c>
      <c r="K150" s="40" t="b">
        <v>0</v>
      </c>
      <c r="L150" t="s">
        <v>203</v>
      </c>
    </row>
    <row r="151" spans="1:12" x14ac:dyDescent="0.3">
      <c r="A151" t="s">
        <v>60</v>
      </c>
      <c r="B151" s="56" t="s">
        <v>61</v>
      </c>
      <c r="C151">
        <v>2025</v>
      </c>
      <c r="D151" t="s">
        <v>53</v>
      </c>
      <c r="E151" t="s">
        <v>204</v>
      </c>
      <c r="F151">
        <v>51</v>
      </c>
      <c r="G151" t="s">
        <v>193</v>
      </c>
      <c r="H151" t="b">
        <v>1</v>
      </c>
      <c r="I151">
        <v>1</v>
      </c>
      <c r="J151" t="s">
        <v>194</v>
      </c>
      <c r="K151" s="40" t="b">
        <v>0</v>
      </c>
      <c r="L151" t="s">
        <v>203</v>
      </c>
    </row>
    <row r="152" spans="1:12" x14ac:dyDescent="0.3">
      <c r="A152" t="s">
        <v>60</v>
      </c>
      <c r="B152" s="56" t="s">
        <v>61</v>
      </c>
      <c r="C152">
        <v>2025</v>
      </c>
      <c r="D152" t="s">
        <v>54</v>
      </c>
      <c r="E152" t="s">
        <v>204</v>
      </c>
      <c r="F152">
        <v>116</v>
      </c>
      <c r="G152" t="s">
        <v>193</v>
      </c>
      <c r="H152" t="b">
        <v>1</v>
      </c>
      <c r="I152">
        <v>1</v>
      </c>
      <c r="J152" t="s">
        <v>194</v>
      </c>
      <c r="K152" s="40" t="b">
        <v>0</v>
      </c>
      <c r="L152" t="s">
        <v>203</v>
      </c>
    </row>
    <row r="153" spans="1:12" x14ac:dyDescent="0.3">
      <c r="A153" t="s">
        <v>60</v>
      </c>
      <c r="B153" s="56" t="s">
        <v>61</v>
      </c>
      <c r="C153">
        <v>2025</v>
      </c>
      <c r="D153" t="s">
        <v>55</v>
      </c>
      <c r="E153" t="s">
        <v>204</v>
      </c>
      <c r="F153">
        <v>43</v>
      </c>
      <c r="G153" t="s">
        <v>193</v>
      </c>
      <c r="H153" t="b">
        <v>1</v>
      </c>
      <c r="I153">
        <v>1</v>
      </c>
      <c r="J153" t="s">
        <v>194</v>
      </c>
      <c r="K153" s="40" t="b">
        <v>0</v>
      </c>
      <c r="L153" t="s">
        <v>203</v>
      </c>
    </row>
    <row r="154" spans="1:12" x14ac:dyDescent="0.3">
      <c r="A154" t="s">
        <v>60</v>
      </c>
      <c r="B154" s="56" t="s">
        <v>61</v>
      </c>
      <c r="C154">
        <v>2025</v>
      </c>
      <c r="D154" t="s">
        <v>56</v>
      </c>
      <c r="E154" t="s">
        <v>204</v>
      </c>
      <c r="F154">
        <v>105</v>
      </c>
      <c r="G154" t="s">
        <v>193</v>
      </c>
      <c r="H154" t="b">
        <v>1</v>
      </c>
      <c r="I154">
        <v>1</v>
      </c>
      <c r="J154" t="s">
        <v>194</v>
      </c>
      <c r="K154" s="40" t="b">
        <v>0</v>
      </c>
      <c r="L154" t="s">
        <v>203</v>
      </c>
    </row>
    <row r="155" spans="1:12" x14ac:dyDescent="0.3">
      <c r="B155" s="56"/>
      <c r="K155" s="40"/>
    </row>
    <row r="156" spans="1:12" x14ac:dyDescent="0.3">
      <c r="A156" t="s">
        <v>60</v>
      </c>
      <c r="B156" s="56" t="s">
        <v>61</v>
      </c>
      <c r="C156">
        <v>2025</v>
      </c>
      <c r="D156" t="s">
        <v>2</v>
      </c>
      <c r="E156" t="s">
        <v>206</v>
      </c>
      <c r="F156">
        <v>99</v>
      </c>
      <c r="G156" t="s">
        <v>193</v>
      </c>
      <c r="H156" t="b">
        <v>1</v>
      </c>
      <c r="I156">
        <v>1</v>
      </c>
      <c r="J156" t="s">
        <v>194</v>
      </c>
      <c r="K156" s="40" t="b">
        <v>0</v>
      </c>
      <c r="L156" t="s">
        <v>207</v>
      </c>
    </row>
    <row r="157" spans="1:12" x14ac:dyDescent="0.3">
      <c r="A157" t="s">
        <v>60</v>
      </c>
      <c r="B157" s="56" t="s">
        <v>61</v>
      </c>
      <c r="C157">
        <v>2025</v>
      </c>
      <c r="D157" t="s">
        <v>46</v>
      </c>
      <c r="E157" t="s">
        <v>206</v>
      </c>
      <c r="F157">
        <v>55</v>
      </c>
      <c r="G157" t="s">
        <v>193</v>
      </c>
      <c r="H157" t="b">
        <v>1</v>
      </c>
      <c r="I157">
        <v>1</v>
      </c>
      <c r="J157" t="s">
        <v>194</v>
      </c>
      <c r="K157" s="40" t="b">
        <v>0</v>
      </c>
      <c r="L157" t="s">
        <v>207</v>
      </c>
    </row>
    <row r="158" spans="1:12" x14ac:dyDescent="0.3">
      <c r="A158" t="s">
        <v>60</v>
      </c>
      <c r="B158" s="56" t="s">
        <v>61</v>
      </c>
      <c r="C158">
        <v>2025</v>
      </c>
      <c r="D158" t="s">
        <v>47</v>
      </c>
      <c r="E158" t="s">
        <v>206</v>
      </c>
      <c r="F158">
        <v>82</v>
      </c>
      <c r="G158" t="s">
        <v>193</v>
      </c>
      <c r="H158" t="b">
        <v>1</v>
      </c>
      <c r="I158">
        <v>1</v>
      </c>
      <c r="J158" t="s">
        <v>194</v>
      </c>
      <c r="K158" s="40" t="b">
        <v>0</v>
      </c>
      <c r="L158" t="s">
        <v>207</v>
      </c>
    </row>
    <row r="159" spans="1:12" x14ac:dyDescent="0.3">
      <c r="A159" t="s">
        <v>60</v>
      </c>
      <c r="B159" s="56" t="s">
        <v>61</v>
      </c>
      <c r="C159">
        <v>2025</v>
      </c>
      <c r="D159" t="s">
        <v>48</v>
      </c>
      <c r="E159" t="s">
        <v>206</v>
      </c>
      <c r="F159">
        <v>118</v>
      </c>
      <c r="G159" t="s">
        <v>193</v>
      </c>
      <c r="H159" t="b">
        <v>1</v>
      </c>
      <c r="I159">
        <v>1</v>
      </c>
      <c r="J159" t="s">
        <v>194</v>
      </c>
      <c r="K159" s="40" t="b">
        <v>0</v>
      </c>
      <c r="L159" t="s">
        <v>207</v>
      </c>
    </row>
    <row r="160" spans="1:12" x14ac:dyDescent="0.3">
      <c r="A160" t="s">
        <v>60</v>
      </c>
      <c r="B160" s="56" t="s">
        <v>61</v>
      </c>
      <c r="C160">
        <v>2025</v>
      </c>
      <c r="D160" t="s">
        <v>49</v>
      </c>
      <c r="E160" t="s">
        <v>206</v>
      </c>
      <c r="F160">
        <v>34</v>
      </c>
      <c r="G160" t="s">
        <v>193</v>
      </c>
      <c r="H160" t="b">
        <v>1</v>
      </c>
      <c r="I160">
        <v>1</v>
      </c>
      <c r="J160" t="s">
        <v>194</v>
      </c>
      <c r="K160" s="40" t="b">
        <v>0</v>
      </c>
      <c r="L160" t="s">
        <v>207</v>
      </c>
    </row>
    <row r="161" spans="1:12" x14ac:dyDescent="0.3">
      <c r="A161" t="s">
        <v>60</v>
      </c>
      <c r="B161" s="56" t="s">
        <v>61</v>
      </c>
      <c r="C161">
        <v>2025</v>
      </c>
      <c r="D161" t="s">
        <v>50</v>
      </c>
      <c r="E161" t="s">
        <v>206</v>
      </c>
      <c r="F161">
        <v>36</v>
      </c>
      <c r="G161" t="s">
        <v>193</v>
      </c>
      <c r="H161" t="b">
        <v>1</v>
      </c>
      <c r="I161">
        <v>1</v>
      </c>
      <c r="J161" t="s">
        <v>194</v>
      </c>
      <c r="K161" s="40" t="b">
        <v>0</v>
      </c>
      <c r="L161" t="s">
        <v>207</v>
      </c>
    </row>
    <row r="162" spans="1:12" x14ac:dyDescent="0.3">
      <c r="A162" t="s">
        <v>60</v>
      </c>
      <c r="B162" s="56" t="s">
        <v>61</v>
      </c>
      <c r="C162">
        <v>2025</v>
      </c>
      <c r="D162" t="s">
        <v>51</v>
      </c>
      <c r="E162" t="s">
        <v>206</v>
      </c>
      <c r="F162">
        <v>53</v>
      </c>
      <c r="G162" t="s">
        <v>193</v>
      </c>
      <c r="H162" t="b">
        <v>1</v>
      </c>
      <c r="I162">
        <v>1</v>
      </c>
      <c r="J162" t="s">
        <v>194</v>
      </c>
      <c r="K162" s="40" t="b">
        <v>0</v>
      </c>
      <c r="L162" t="s">
        <v>207</v>
      </c>
    </row>
    <row r="163" spans="1:12" x14ac:dyDescent="0.3">
      <c r="A163" t="s">
        <v>60</v>
      </c>
      <c r="B163" s="56" t="s">
        <v>61</v>
      </c>
      <c r="C163">
        <v>2025</v>
      </c>
      <c r="D163" t="s">
        <v>52</v>
      </c>
      <c r="E163" t="s">
        <v>206</v>
      </c>
      <c r="F163">
        <v>82</v>
      </c>
      <c r="G163" t="s">
        <v>193</v>
      </c>
      <c r="H163" t="b">
        <v>1</v>
      </c>
      <c r="I163">
        <v>1</v>
      </c>
      <c r="J163" t="s">
        <v>194</v>
      </c>
      <c r="K163" s="40" t="b">
        <v>0</v>
      </c>
      <c r="L163" t="s">
        <v>207</v>
      </c>
    </row>
    <row r="164" spans="1:12" x14ac:dyDescent="0.3">
      <c r="A164" t="s">
        <v>60</v>
      </c>
      <c r="B164" s="56" t="s">
        <v>61</v>
      </c>
      <c r="C164">
        <v>2025</v>
      </c>
      <c r="D164" t="s">
        <v>53</v>
      </c>
      <c r="E164" t="s">
        <v>206</v>
      </c>
      <c r="F164">
        <v>25</v>
      </c>
      <c r="G164" t="s">
        <v>193</v>
      </c>
      <c r="H164" t="b">
        <v>1</v>
      </c>
      <c r="I164">
        <v>1</v>
      </c>
      <c r="J164" t="s">
        <v>194</v>
      </c>
      <c r="K164" s="40" t="b">
        <v>0</v>
      </c>
      <c r="L164" t="s">
        <v>207</v>
      </c>
    </row>
    <row r="165" spans="1:12" x14ac:dyDescent="0.3">
      <c r="A165" t="s">
        <v>60</v>
      </c>
      <c r="B165" s="56" t="s">
        <v>61</v>
      </c>
      <c r="C165">
        <v>2025</v>
      </c>
      <c r="D165" t="s">
        <v>54</v>
      </c>
      <c r="E165" t="s">
        <v>206</v>
      </c>
      <c r="F165">
        <v>90</v>
      </c>
      <c r="G165" t="s">
        <v>193</v>
      </c>
      <c r="H165" t="b">
        <v>1</v>
      </c>
      <c r="I165">
        <v>1</v>
      </c>
      <c r="J165" t="s">
        <v>194</v>
      </c>
      <c r="K165" s="40" t="b">
        <v>0</v>
      </c>
      <c r="L165" t="s">
        <v>207</v>
      </c>
    </row>
    <row r="166" spans="1:12" x14ac:dyDescent="0.3">
      <c r="A166" t="s">
        <v>60</v>
      </c>
      <c r="B166" s="56" t="s">
        <v>61</v>
      </c>
      <c r="C166">
        <v>2025</v>
      </c>
      <c r="D166" t="s">
        <v>55</v>
      </c>
      <c r="E166" t="s">
        <v>206</v>
      </c>
      <c r="F166">
        <v>79</v>
      </c>
      <c r="G166" t="s">
        <v>193</v>
      </c>
      <c r="H166" t="b">
        <v>1</v>
      </c>
      <c r="I166">
        <v>1</v>
      </c>
      <c r="J166" t="s">
        <v>194</v>
      </c>
      <c r="K166" s="40" t="b">
        <v>0</v>
      </c>
      <c r="L166" t="s">
        <v>207</v>
      </c>
    </row>
    <row r="167" spans="1:12" x14ac:dyDescent="0.3">
      <c r="A167" t="s">
        <v>60</v>
      </c>
      <c r="B167" s="56" t="s">
        <v>61</v>
      </c>
      <c r="C167">
        <v>2025</v>
      </c>
      <c r="D167" t="s">
        <v>56</v>
      </c>
      <c r="E167" t="s">
        <v>206</v>
      </c>
      <c r="F167">
        <v>28</v>
      </c>
      <c r="G167" t="s">
        <v>193</v>
      </c>
      <c r="H167" t="b">
        <v>1</v>
      </c>
      <c r="I167">
        <v>1</v>
      </c>
      <c r="J167" t="s">
        <v>194</v>
      </c>
      <c r="K167" s="40" t="b">
        <v>0</v>
      </c>
      <c r="L167" t="s">
        <v>207</v>
      </c>
    </row>
    <row r="168" spans="1:12" x14ac:dyDescent="0.3">
      <c r="B168" s="56"/>
      <c r="K168" s="40"/>
    </row>
    <row r="169" spans="1:12" x14ac:dyDescent="0.3">
      <c r="A169" t="s">
        <v>60</v>
      </c>
      <c r="B169" s="56" t="s">
        <v>61</v>
      </c>
      <c r="C169">
        <v>2025</v>
      </c>
      <c r="D169" t="s">
        <v>2</v>
      </c>
      <c r="E169" t="s">
        <v>208</v>
      </c>
      <c r="F169">
        <v>71</v>
      </c>
      <c r="G169" t="s">
        <v>193</v>
      </c>
      <c r="H169" t="b">
        <v>1</v>
      </c>
      <c r="I169">
        <v>1</v>
      </c>
      <c r="J169" t="s">
        <v>194</v>
      </c>
      <c r="K169" s="40" t="b">
        <v>0</v>
      </c>
      <c r="L169" t="s">
        <v>205</v>
      </c>
    </row>
    <row r="170" spans="1:12" x14ac:dyDescent="0.3">
      <c r="A170" t="s">
        <v>60</v>
      </c>
      <c r="B170" s="56" t="s">
        <v>61</v>
      </c>
      <c r="C170">
        <v>2025</v>
      </c>
      <c r="D170" t="s">
        <v>46</v>
      </c>
      <c r="E170" t="s">
        <v>208</v>
      </c>
      <c r="F170">
        <v>103</v>
      </c>
      <c r="G170" t="s">
        <v>193</v>
      </c>
      <c r="H170" t="b">
        <v>1</v>
      </c>
      <c r="I170">
        <v>1</v>
      </c>
      <c r="J170" t="s">
        <v>194</v>
      </c>
      <c r="K170" s="40" t="b">
        <v>0</v>
      </c>
      <c r="L170" t="s">
        <v>205</v>
      </c>
    </row>
    <row r="171" spans="1:12" x14ac:dyDescent="0.3">
      <c r="A171" t="s">
        <v>60</v>
      </c>
      <c r="B171" s="56" t="s">
        <v>61</v>
      </c>
      <c r="C171">
        <v>2025</v>
      </c>
      <c r="D171" t="s">
        <v>47</v>
      </c>
      <c r="E171" t="s">
        <v>208</v>
      </c>
      <c r="F171">
        <v>106</v>
      </c>
      <c r="G171" t="s">
        <v>193</v>
      </c>
      <c r="H171" t="b">
        <v>1</v>
      </c>
      <c r="I171">
        <v>1</v>
      </c>
      <c r="J171" t="s">
        <v>194</v>
      </c>
      <c r="K171" s="40" t="b">
        <v>0</v>
      </c>
      <c r="L171" t="s">
        <v>205</v>
      </c>
    </row>
    <row r="172" spans="1:12" x14ac:dyDescent="0.3">
      <c r="A172" t="s">
        <v>60</v>
      </c>
      <c r="B172" s="56" t="s">
        <v>61</v>
      </c>
      <c r="C172">
        <v>2025</v>
      </c>
      <c r="D172" t="s">
        <v>48</v>
      </c>
      <c r="E172" t="s">
        <v>208</v>
      </c>
      <c r="F172">
        <v>111</v>
      </c>
      <c r="G172" t="s">
        <v>193</v>
      </c>
      <c r="H172" t="b">
        <v>1</v>
      </c>
      <c r="I172">
        <v>1</v>
      </c>
      <c r="J172" t="s">
        <v>194</v>
      </c>
      <c r="K172" s="40" t="b">
        <v>0</v>
      </c>
      <c r="L172" t="s">
        <v>205</v>
      </c>
    </row>
    <row r="173" spans="1:12" x14ac:dyDescent="0.3">
      <c r="A173" t="s">
        <v>60</v>
      </c>
      <c r="B173" s="56" t="s">
        <v>61</v>
      </c>
      <c r="C173">
        <v>2025</v>
      </c>
      <c r="D173" t="s">
        <v>49</v>
      </c>
      <c r="E173" t="s">
        <v>208</v>
      </c>
      <c r="F173">
        <v>81</v>
      </c>
      <c r="G173" t="s">
        <v>193</v>
      </c>
      <c r="H173" t="b">
        <v>1</v>
      </c>
      <c r="I173">
        <v>1</v>
      </c>
      <c r="J173" t="s">
        <v>194</v>
      </c>
      <c r="K173" s="40" t="b">
        <v>0</v>
      </c>
      <c r="L173" t="s">
        <v>205</v>
      </c>
    </row>
    <row r="174" spans="1:12" x14ac:dyDescent="0.3">
      <c r="A174" t="s">
        <v>60</v>
      </c>
      <c r="B174" s="56" t="s">
        <v>61</v>
      </c>
      <c r="C174">
        <v>2025</v>
      </c>
      <c r="D174" t="s">
        <v>50</v>
      </c>
      <c r="E174" t="s">
        <v>208</v>
      </c>
      <c r="F174">
        <v>86</v>
      </c>
      <c r="G174" t="s">
        <v>193</v>
      </c>
      <c r="H174" t="b">
        <v>1</v>
      </c>
      <c r="I174">
        <v>1</v>
      </c>
      <c r="J174" t="s">
        <v>194</v>
      </c>
      <c r="K174" s="40" t="b">
        <v>0</v>
      </c>
      <c r="L174" t="s">
        <v>205</v>
      </c>
    </row>
    <row r="175" spans="1:12" x14ac:dyDescent="0.3">
      <c r="A175" t="s">
        <v>60</v>
      </c>
      <c r="B175" s="56" t="s">
        <v>61</v>
      </c>
      <c r="C175">
        <v>2025</v>
      </c>
      <c r="D175" t="s">
        <v>51</v>
      </c>
      <c r="E175" t="s">
        <v>208</v>
      </c>
      <c r="F175">
        <v>109</v>
      </c>
      <c r="G175" t="s">
        <v>193</v>
      </c>
      <c r="H175" t="b">
        <v>1</v>
      </c>
      <c r="I175">
        <v>1</v>
      </c>
      <c r="J175" t="s">
        <v>194</v>
      </c>
      <c r="K175" s="40" t="b">
        <v>0</v>
      </c>
      <c r="L175" t="s">
        <v>205</v>
      </c>
    </row>
    <row r="176" spans="1:12" x14ac:dyDescent="0.3">
      <c r="A176" t="s">
        <v>60</v>
      </c>
      <c r="B176" s="56" t="s">
        <v>61</v>
      </c>
      <c r="C176">
        <v>2025</v>
      </c>
      <c r="D176" t="s">
        <v>52</v>
      </c>
      <c r="E176" t="s">
        <v>208</v>
      </c>
      <c r="F176">
        <v>100</v>
      </c>
      <c r="G176" t="s">
        <v>193</v>
      </c>
      <c r="H176" t="b">
        <v>1</v>
      </c>
      <c r="I176">
        <v>1</v>
      </c>
      <c r="J176" t="s">
        <v>194</v>
      </c>
      <c r="K176" s="40" t="b">
        <v>0</v>
      </c>
      <c r="L176" t="s">
        <v>205</v>
      </c>
    </row>
    <row r="177" spans="1:12" x14ac:dyDescent="0.3">
      <c r="A177" t="s">
        <v>60</v>
      </c>
      <c r="B177" s="56" t="s">
        <v>61</v>
      </c>
      <c r="C177">
        <v>2025</v>
      </c>
      <c r="D177" t="s">
        <v>53</v>
      </c>
      <c r="E177" t="s">
        <v>208</v>
      </c>
      <c r="F177">
        <v>84</v>
      </c>
      <c r="G177" t="s">
        <v>193</v>
      </c>
      <c r="H177" t="b">
        <v>1</v>
      </c>
      <c r="I177">
        <v>1</v>
      </c>
      <c r="J177" t="s">
        <v>194</v>
      </c>
      <c r="K177" s="40" t="b">
        <v>0</v>
      </c>
      <c r="L177" t="s">
        <v>205</v>
      </c>
    </row>
    <row r="178" spans="1:12" x14ac:dyDescent="0.3">
      <c r="A178" t="s">
        <v>60</v>
      </c>
      <c r="B178" s="56" t="s">
        <v>61</v>
      </c>
      <c r="C178">
        <v>2025</v>
      </c>
      <c r="D178" t="s">
        <v>54</v>
      </c>
      <c r="E178" t="s">
        <v>208</v>
      </c>
      <c r="F178">
        <v>70</v>
      </c>
      <c r="G178" t="s">
        <v>193</v>
      </c>
      <c r="H178" t="b">
        <v>1</v>
      </c>
      <c r="I178">
        <v>1</v>
      </c>
      <c r="J178" t="s">
        <v>194</v>
      </c>
      <c r="K178" s="40" t="b">
        <v>0</v>
      </c>
      <c r="L178" t="s">
        <v>205</v>
      </c>
    </row>
    <row r="179" spans="1:12" x14ac:dyDescent="0.3">
      <c r="A179" t="s">
        <v>60</v>
      </c>
      <c r="B179" s="56" t="s">
        <v>61</v>
      </c>
      <c r="C179">
        <v>2025</v>
      </c>
      <c r="D179" t="s">
        <v>55</v>
      </c>
      <c r="E179" t="s">
        <v>208</v>
      </c>
      <c r="F179">
        <v>45</v>
      </c>
      <c r="G179" t="s">
        <v>193</v>
      </c>
      <c r="H179" t="b">
        <v>1</v>
      </c>
      <c r="I179">
        <v>1</v>
      </c>
      <c r="J179" t="s">
        <v>194</v>
      </c>
      <c r="K179" s="40" t="b">
        <v>0</v>
      </c>
      <c r="L179" t="s">
        <v>203</v>
      </c>
    </row>
    <row r="180" spans="1:12" x14ac:dyDescent="0.3">
      <c r="A180" t="s">
        <v>60</v>
      </c>
      <c r="B180" s="56" t="s">
        <v>61</v>
      </c>
      <c r="C180">
        <v>2025</v>
      </c>
      <c r="D180" t="s">
        <v>56</v>
      </c>
      <c r="E180" t="s">
        <v>208</v>
      </c>
      <c r="F180">
        <v>54</v>
      </c>
      <c r="G180" t="s">
        <v>193</v>
      </c>
      <c r="H180" t="b">
        <v>1</v>
      </c>
      <c r="I180">
        <v>1</v>
      </c>
      <c r="J180" t="s">
        <v>194</v>
      </c>
      <c r="K180" s="40" t="b">
        <v>0</v>
      </c>
      <c r="L180" t="s">
        <v>205</v>
      </c>
    </row>
    <row r="181" spans="1:12" x14ac:dyDescent="0.3">
      <c r="B181" s="56"/>
      <c r="K181" s="40"/>
    </row>
    <row r="182" spans="1:12" x14ac:dyDescent="0.3">
      <c r="A182" t="s">
        <v>60</v>
      </c>
      <c r="B182" s="56" t="s">
        <v>61</v>
      </c>
      <c r="C182">
        <v>2025</v>
      </c>
      <c r="D182" t="s">
        <v>2</v>
      </c>
      <c r="E182" t="s">
        <v>209</v>
      </c>
      <c r="F182">
        <v>86</v>
      </c>
      <c r="G182" t="s">
        <v>193</v>
      </c>
      <c r="H182" t="b">
        <v>1</v>
      </c>
      <c r="I182">
        <v>1</v>
      </c>
      <c r="J182" t="s">
        <v>194</v>
      </c>
      <c r="K182" s="40" t="b">
        <v>0</v>
      </c>
      <c r="L182" t="s">
        <v>203</v>
      </c>
    </row>
    <row r="183" spans="1:12" x14ac:dyDescent="0.3">
      <c r="A183" t="s">
        <v>60</v>
      </c>
      <c r="B183" s="56" t="s">
        <v>61</v>
      </c>
      <c r="C183">
        <v>2025</v>
      </c>
      <c r="D183" t="s">
        <v>46</v>
      </c>
      <c r="E183" t="s">
        <v>209</v>
      </c>
      <c r="F183">
        <v>42</v>
      </c>
      <c r="G183" t="s">
        <v>193</v>
      </c>
      <c r="H183" t="b">
        <v>1</v>
      </c>
      <c r="I183">
        <v>1</v>
      </c>
      <c r="J183" t="s">
        <v>194</v>
      </c>
      <c r="K183" s="40" t="b">
        <v>0</v>
      </c>
      <c r="L183" t="s">
        <v>203</v>
      </c>
    </row>
    <row r="184" spans="1:12" x14ac:dyDescent="0.3">
      <c r="A184" t="s">
        <v>60</v>
      </c>
      <c r="B184" s="56" t="s">
        <v>61</v>
      </c>
      <c r="C184">
        <v>2025</v>
      </c>
      <c r="D184" t="s">
        <v>47</v>
      </c>
      <c r="E184" t="s">
        <v>209</v>
      </c>
      <c r="F184">
        <v>35</v>
      </c>
      <c r="G184" t="s">
        <v>193</v>
      </c>
      <c r="H184" t="b">
        <v>1</v>
      </c>
      <c r="I184">
        <v>1</v>
      </c>
      <c r="J184" t="s">
        <v>194</v>
      </c>
      <c r="K184" s="40" t="b">
        <v>0</v>
      </c>
      <c r="L184" t="s">
        <v>203</v>
      </c>
    </row>
    <row r="185" spans="1:12" x14ac:dyDescent="0.3">
      <c r="A185" t="s">
        <v>60</v>
      </c>
      <c r="B185" s="56" t="s">
        <v>61</v>
      </c>
      <c r="C185">
        <v>2025</v>
      </c>
      <c r="D185" t="s">
        <v>48</v>
      </c>
      <c r="E185" t="s">
        <v>209</v>
      </c>
      <c r="F185">
        <v>78</v>
      </c>
      <c r="G185" t="s">
        <v>193</v>
      </c>
      <c r="H185" t="b">
        <v>1</v>
      </c>
      <c r="I185">
        <v>1</v>
      </c>
      <c r="J185" t="s">
        <v>194</v>
      </c>
      <c r="K185" s="40" t="b">
        <v>0</v>
      </c>
      <c r="L185" t="s">
        <v>203</v>
      </c>
    </row>
    <row r="186" spans="1:12" x14ac:dyDescent="0.3">
      <c r="A186" t="s">
        <v>60</v>
      </c>
      <c r="B186" s="56" t="s">
        <v>61</v>
      </c>
      <c r="C186">
        <v>2025</v>
      </c>
      <c r="D186" t="s">
        <v>49</v>
      </c>
      <c r="E186" t="s">
        <v>209</v>
      </c>
      <c r="F186">
        <v>62</v>
      </c>
      <c r="G186" t="s">
        <v>193</v>
      </c>
      <c r="H186" t="b">
        <v>1</v>
      </c>
      <c r="I186">
        <v>1</v>
      </c>
      <c r="J186" t="s">
        <v>194</v>
      </c>
      <c r="K186" s="40" t="b">
        <v>0</v>
      </c>
      <c r="L186" t="s">
        <v>203</v>
      </c>
    </row>
    <row r="187" spans="1:12" x14ac:dyDescent="0.3">
      <c r="A187" t="s">
        <v>60</v>
      </c>
      <c r="B187" s="56" t="s">
        <v>61</v>
      </c>
      <c r="C187">
        <v>2025</v>
      </c>
      <c r="D187" t="s">
        <v>50</v>
      </c>
      <c r="E187" t="s">
        <v>209</v>
      </c>
      <c r="F187">
        <v>27</v>
      </c>
      <c r="G187" t="s">
        <v>193</v>
      </c>
      <c r="H187" t="b">
        <v>1</v>
      </c>
      <c r="I187">
        <v>1</v>
      </c>
      <c r="J187" t="s">
        <v>194</v>
      </c>
      <c r="K187" s="40" t="b">
        <v>0</v>
      </c>
      <c r="L187" t="s">
        <v>203</v>
      </c>
    </row>
    <row r="188" spans="1:12" x14ac:dyDescent="0.3">
      <c r="A188" t="s">
        <v>60</v>
      </c>
      <c r="B188" s="56" t="s">
        <v>61</v>
      </c>
      <c r="C188">
        <v>2025</v>
      </c>
      <c r="D188" t="s">
        <v>51</v>
      </c>
      <c r="E188" t="s">
        <v>209</v>
      </c>
      <c r="F188">
        <v>24</v>
      </c>
      <c r="G188" t="s">
        <v>193</v>
      </c>
      <c r="H188" t="b">
        <v>1</v>
      </c>
      <c r="I188">
        <v>1</v>
      </c>
      <c r="J188" t="s">
        <v>194</v>
      </c>
      <c r="K188" s="40" t="b">
        <v>0</v>
      </c>
      <c r="L188" t="s">
        <v>203</v>
      </c>
    </row>
    <row r="189" spans="1:12" x14ac:dyDescent="0.3">
      <c r="A189" t="s">
        <v>60</v>
      </c>
      <c r="B189" s="56" t="s">
        <v>61</v>
      </c>
      <c r="C189">
        <v>2025</v>
      </c>
      <c r="D189" t="s">
        <v>52</v>
      </c>
      <c r="E189" t="s">
        <v>209</v>
      </c>
      <c r="F189">
        <v>115</v>
      </c>
      <c r="G189" t="s">
        <v>193</v>
      </c>
      <c r="H189" t="b">
        <v>1</v>
      </c>
      <c r="I189">
        <v>1</v>
      </c>
      <c r="J189" t="s">
        <v>194</v>
      </c>
      <c r="K189" s="40" t="b">
        <v>0</v>
      </c>
      <c r="L189" t="s">
        <v>203</v>
      </c>
    </row>
    <row r="190" spans="1:12" x14ac:dyDescent="0.3">
      <c r="A190" t="s">
        <v>60</v>
      </c>
      <c r="B190" s="56" t="s">
        <v>61</v>
      </c>
      <c r="C190">
        <v>2025</v>
      </c>
      <c r="D190" t="s">
        <v>53</v>
      </c>
      <c r="E190" t="s">
        <v>209</v>
      </c>
      <c r="F190">
        <v>69</v>
      </c>
      <c r="G190" t="s">
        <v>193</v>
      </c>
      <c r="H190" t="b">
        <v>1</v>
      </c>
      <c r="I190">
        <v>1</v>
      </c>
      <c r="J190" t="s">
        <v>194</v>
      </c>
      <c r="K190" s="40" t="b">
        <v>0</v>
      </c>
      <c r="L190" t="s">
        <v>203</v>
      </c>
    </row>
    <row r="191" spans="1:12" x14ac:dyDescent="0.3">
      <c r="A191" t="s">
        <v>60</v>
      </c>
      <c r="B191" s="56" t="s">
        <v>61</v>
      </c>
      <c r="C191">
        <v>2025</v>
      </c>
      <c r="D191" t="s">
        <v>54</v>
      </c>
      <c r="E191" t="s">
        <v>209</v>
      </c>
      <c r="F191">
        <v>113</v>
      </c>
      <c r="G191" t="s">
        <v>193</v>
      </c>
      <c r="H191" t="b">
        <v>1</v>
      </c>
      <c r="I191">
        <v>1</v>
      </c>
      <c r="J191" t="s">
        <v>194</v>
      </c>
      <c r="K191" s="40" t="b">
        <v>0</v>
      </c>
      <c r="L191" t="s">
        <v>203</v>
      </c>
    </row>
    <row r="192" spans="1:12" x14ac:dyDescent="0.3">
      <c r="A192" t="s">
        <v>60</v>
      </c>
      <c r="B192" s="56" t="s">
        <v>61</v>
      </c>
      <c r="C192">
        <v>2025</v>
      </c>
      <c r="D192" t="s">
        <v>55</v>
      </c>
      <c r="E192" t="s">
        <v>209</v>
      </c>
      <c r="F192">
        <v>120</v>
      </c>
      <c r="G192" t="s">
        <v>193</v>
      </c>
      <c r="H192" t="b">
        <v>1</v>
      </c>
      <c r="I192">
        <v>1</v>
      </c>
      <c r="J192" t="s">
        <v>194</v>
      </c>
      <c r="K192" s="40" t="b">
        <v>0</v>
      </c>
      <c r="L192" t="s">
        <v>203</v>
      </c>
    </row>
    <row r="193" spans="1:12" x14ac:dyDescent="0.3">
      <c r="A193" t="s">
        <v>60</v>
      </c>
      <c r="B193" s="56" t="s">
        <v>61</v>
      </c>
      <c r="C193">
        <v>2025</v>
      </c>
      <c r="D193" t="s">
        <v>56</v>
      </c>
      <c r="E193" t="s">
        <v>209</v>
      </c>
      <c r="F193">
        <v>20</v>
      </c>
      <c r="G193" t="s">
        <v>193</v>
      </c>
      <c r="H193" t="b">
        <v>1</v>
      </c>
      <c r="I193">
        <v>1</v>
      </c>
      <c r="J193" t="s">
        <v>194</v>
      </c>
      <c r="K193" s="40" t="b">
        <v>0</v>
      </c>
      <c r="L193" t="s">
        <v>203</v>
      </c>
    </row>
    <row r="194" spans="1:12" x14ac:dyDescent="0.3">
      <c r="B194" s="56"/>
      <c r="K194" s="40"/>
    </row>
    <row r="195" spans="1:12" x14ac:dyDescent="0.3">
      <c r="A195" t="s">
        <v>60</v>
      </c>
      <c r="B195" s="56" t="s">
        <v>61</v>
      </c>
      <c r="C195">
        <v>2025</v>
      </c>
      <c r="D195" t="s">
        <v>2</v>
      </c>
      <c r="E195" t="s">
        <v>210</v>
      </c>
      <c r="F195">
        <v>20</v>
      </c>
      <c r="G195" t="s">
        <v>193</v>
      </c>
      <c r="H195" t="b">
        <v>1</v>
      </c>
      <c r="I195">
        <v>1</v>
      </c>
      <c r="J195" t="s">
        <v>194</v>
      </c>
      <c r="K195" s="40" t="b">
        <v>0</v>
      </c>
      <c r="L195" t="s">
        <v>203</v>
      </c>
    </row>
    <row r="196" spans="1:12" x14ac:dyDescent="0.3">
      <c r="A196" t="s">
        <v>60</v>
      </c>
      <c r="B196" s="56" t="s">
        <v>61</v>
      </c>
      <c r="C196">
        <v>2025</v>
      </c>
      <c r="D196" t="s">
        <v>46</v>
      </c>
      <c r="E196" t="s">
        <v>210</v>
      </c>
      <c r="F196">
        <v>112</v>
      </c>
      <c r="G196" t="s">
        <v>193</v>
      </c>
      <c r="H196" t="b">
        <v>1</v>
      </c>
      <c r="I196">
        <v>1</v>
      </c>
      <c r="J196" t="s">
        <v>194</v>
      </c>
      <c r="K196" s="40" t="b">
        <v>0</v>
      </c>
      <c r="L196" t="s">
        <v>203</v>
      </c>
    </row>
    <row r="197" spans="1:12" x14ac:dyDescent="0.3">
      <c r="A197" t="s">
        <v>60</v>
      </c>
      <c r="B197" s="56" t="s">
        <v>61</v>
      </c>
      <c r="C197">
        <v>2025</v>
      </c>
      <c r="D197" t="s">
        <v>47</v>
      </c>
      <c r="E197" t="s">
        <v>210</v>
      </c>
      <c r="F197">
        <v>88</v>
      </c>
      <c r="G197" t="s">
        <v>193</v>
      </c>
      <c r="H197" t="b">
        <v>1</v>
      </c>
      <c r="I197">
        <v>1</v>
      </c>
      <c r="J197" t="s">
        <v>194</v>
      </c>
      <c r="K197" s="40" t="b">
        <v>0</v>
      </c>
      <c r="L197" t="s">
        <v>203</v>
      </c>
    </row>
    <row r="198" spans="1:12" x14ac:dyDescent="0.3">
      <c r="A198" t="s">
        <v>60</v>
      </c>
      <c r="B198" s="56" t="s">
        <v>61</v>
      </c>
      <c r="C198">
        <v>2025</v>
      </c>
      <c r="D198" t="s">
        <v>48</v>
      </c>
      <c r="E198" t="s">
        <v>210</v>
      </c>
      <c r="F198">
        <v>53</v>
      </c>
      <c r="G198" t="s">
        <v>193</v>
      </c>
      <c r="H198" t="b">
        <v>1</v>
      </c>
      <c r="I198">
        <v>1</v>
      </c>
      <c r="J198" t="s">
        <v>194</v>
      </c>
      <c r="K198" s="40" t="b">
        <v>0</v>
      </c>
      <c r="L198" t="s">
        <v>203</v>
      </c>
    </row>
    <row r="199" spans="1:12" x14ac:dyDescent="0.3">
      <c r="A199" t="s">
        <v>60</v>
      </c>
      <c r="B199" s="56" t="s">
        <v>61</v>
      </c>
      <c r="C199">
        <v>2025</v>
      </c>
      <c r="D199" t="s">
        <v>49</v>
      </c>
      <c r="E199" t="s">
        <v>210</v>
      </c>
      <c r="F199">
        <v>103</v>
      </c>
      <c r="G199" t="s">
        <v>193</v>
      </c>
      <c r="H199" t="b">
        <v>1</v>
      </c>
      <c r="I199">
        <v>1</v>
      </c>
      <c r="J199" t="s">
        <v>194</v>
      </c>
      <c r="K199" s="40" t="b">
        <v>0</v>
      </c>
      <c r="L199" t="s">
        <v>203</v>
      </c>
    </row>
    <row r="200" spans="1:12" x14ac:dyDescent="0.3">
      <c r="A200" t="s">
        <v>60</v>
      </c>
      <c r="B200" s="56" t="s">
        <v>61</v>
      </c>
      <c r="C200">
        <v>2025</v>
      </c>
      <c r="D200" t="s">
        <v>50</v>
      </c>
      <c r="E200" t="s">
        <v>210</v>
      </c>
      <c r="F200">
        <v>79</v>
      </c>
      <c r="G200" t="s">
        <v>193</v>
      </c>
      <c r="H200" t="b">
        <v>1</v>
      </c>
      <c r="I200">
        <v>1</v>
      </c>
      <c r="J200" t="s">
        <v>194</v>
      </c>
      <c r="K200" s="40" t="b">
        <v>0</v>
      </c>
      <c r="L200" t="s">
        <v>203</v>
      </c>
    </row>
    <row r="201" spans="1:12" x14ac:dyDescent="0.3">
      <c r="A201" t="s">
        <v>60</v>
      </c>
      <c r="B201" s="56" t="s">
        <v>61</v>
      </c>
      <c r="C201">
        <v>2025</v>
      </c>
      <c r="D201" t="s">
        <v>51</v>
      </c>
      <c r="E201" t="s">
        <v>210</v>
      </c>
      <c r="F201">
        <v>32</v>
      </c>
      <c r="G201" t="s">
        <v>193</v>
      </c>
      <c r="H201" t="b">
        <v>1</v>
      </c>
      <c r="I201">
        <v>1</v>
      </c>
      <c r="J201" t="s">
        <v>194</v>
      </c>
      <c r="K201" s="40" t="b">
        <v>0</v>
      </c>
      <c r="L201" t="s">
        <v>203</v>
      </c>
    </row>
    <row r="202" spans="1:12" x14ac:dyDescent="0.3">
      <c r="A202" t="s">
        <v>60</v>
      </c>
      <c r="B202" s="56" t="s">
        <v>61</v>
      </c>
      <c r="C202">
        <v>2025</v>
      </c>
      <c r="D202" t="s">
        <v>52</v>
      </c>
      <c r="E202" t="s">
        <v>210</v>
      </c>
      <c r="F202">
        <v>28</v>
      </c>
      <c r="G202" t="s">
        <v>193</v>
      </c>
      <c r="H202" t="b">
        <v>1</v>
      </c>
      <c r="I202">
        <v>1</v>
      </c>
      <c r="J202" t="s">
        <v>194</v>
      </c>
      <c r="K202" s="40" t="b">
        <v>0</v>
      </c>
      <c r="L202" t="s">
        <v>203</v>
      </c>
    </row>
    <row r="203" spans="1:12" x14ac:dyDescent="0.3">
      <c r="A203" t="s">
        <v>60</v>
      </c>
      <c r="B203" s="56" t="s">
        <v>61</v>
      </c>
      <c r="C203">
        <v>2025</v>
      </c>
      <c r="D203" t="s">
        <v>53</v>
      </c>
      <c r="E203" t="s">
        <v>210</v>
      </c>
      <c r="F203">
        <v>89</v>
      </c>
      <c r="G203" t="s">
        <v>193</v>
      </c>
      <c r="H203" t="b">
        <v>1</v>
      </c>
      <c r="I203">
        <v>1</v>
      </c>
      <c r="J203" t="s">
        <v>194</v>
      </c>
      <c r="K203" s="40" t="b">
        <v>0</v>
      </c>
      <c r="L203" t="s">
        <v>203</v>
      </c>
    </row>
    <row r="204" spans="1:12" x14ac:dyDescent="0.3">
      <c r="A204" t="s">
        <v>60</v>
      </c>
      <c r="B204" s="56" t="s">
        <v>61</v>
      </c>
      <c r="C204">
        <v>2025</v>
      </c>
      <c r="D204" t="s">
        <v>54</v>
      </c>
      <c r="E204" t="s">
        <v>210</v>
      </c>
      <c r="F204">
        <v>33</v>
      </c>
      <c r="G204" t="s">
        <v>193</v>
      </c>
      <c r="H204" t="b">
        <v>1</v>
      </c>
      <c r="I204">
        <v>1</v>
      </c>
      <c r="J204" t="s">
        <v>194</v>
      </c>
      <c r="K204" s="40" t="b">
        <v>0</v>
      </c>
      <c r="L204" t="s">
        <v>203</v>
      </c>
    </row>
    <row r="205" spans="1:12" x14ac:dyDescent="0.3">
      <c r="A205" t="s">
        <v>60</v>
      </c>
      <c r="B205" s="56" t="s">
        <v>61</v>
      </c>
      <c r="C205">
        <v>2025</v>
      </c>
      <c r="D205" t="s">
        <v>55</v>
      </c>
      <c r="E205" t="s">
        <v>210</v>
      </c>
      <c r="F205">
        <v>119</v>
      </c>
      <c r="G205" t="s">
        <v>193</v>
      </c>
      <c r="H205" t="b">
        <v>1</v>
      </c>
      <c r="I205">
        <v>1</v>
      </c>
      <c r="J205" t="s">
        <v>194</v>
      </c>
      <c r="K205" s="40" t="b">
        <v>0</v>
      </c>
      <c r="L205" t="s">
        <v>203</v>
      </c>
    </row>
    <row r="206" spans="1:12" x14ac:dyDescent="0.3">
      <c r="A206" t="s">
        <v>60</v>
      </c>
      <c r="B206" s="56" t="s">
        <v>61</v>
      </c>
      <c r="C206">
        <v>2025</v>
      </c>
      <c r="D206" t="s">
        <v>56</v>
      </c>
      <c r="E206" t="s">
        <v>210</v>
      </c>
      <c r="F206">
        <v>70</v>
      </c>
      <c r="G206" t="s">
        <v>193</v>
      </c>
      <c r="H206" t="b">
        <v>1</v>
      </c>
      <c r="I206">
        <v>1</v>
      </c>
      <c r="J206" t="s">
        <v>194</v>
      </c>
      <c r="K206" s="40" t="b">
        <v>0</v>
      </c>
      <c r="L206" t="s">
        <v>203</v>
      </c>
    </row>
    <row r="207" spans="1:12" x14ac:dyDescent="0.3">
      <c r="B207" s="56"/>
      <c r="K207" s="40"/>
    </row>
    <row r="208" spans="1:12" x14ac:dyDescent="0.3">
      <c r="A208" t="s">
        <v>60</v>
      </c>
      <c r="B208" s="56" t="s">
        <v>61</v>
      </c>
      <c r="C208">
        <v>2025</v>
      </c>
      <c r="D208" t="s">
        <v>2</v>
      </c>
      <c r="E208" t="s">
        <v>211</v>
      </c>
      <c r="F208">
        <v>107</v>
      </c>
      <c r="G208" t="s">
        <v>193</v>
      </c>
      <c r="H208" t="b">
        <v>1</v>
      </c>
      <c r="I208">
        <v>1</v>
      </c>
      <c r="J208" t="s">
        <v>194</v>
      </c>
      <c r="K208" s="40" t="b">
        <v>0</v>
      </c>
      <c r="L208" t="s">
        <v>207</v>
      </c>
    </row>
    <row r="209" spans="1:12" x14ac:dyDescent="0.3">
      <c r="A209" t="s">
        <v>60</v>
      </c>
      <c r="B209" s="56" t="s">
        <v>61</v>
      </c>
      <c r="C209">
        <v>2025</v>
      </c>
      <c r="D209" t="s">
        <v>46</v>
      </c>
      <c r="E209" t="s">
        <v>211</v>
      </c>
      <c r="F209">
        <v>57</v>
      </c>
      <c r="G209" t="s">
        <v>193</v>
      </c>
      <c r="H209" t="b">
        <v>1</v>
      </c>
      <c r="I209">
        <v>1</v>
      </c>
      <c r="J209" t="s">
        <v>194</v>
      </c>
      <c r="K209" s="40" t="b">
        <v>0</v>
      </c>
      <c r="L209" t="s">
        <v>207</v>
      </c>
    </row>
    <row r="210" spans="1:12" x14ac:dyDescent="0.3">
      <c r="A210" t="s">
        <v>60</v>
      </c>
      <c r="B210" s="56" t="s">
        <v>61</v>
      </c>
      <c r="C210">
        <v>2025</v>
      </c>
      <c r="D210" t="s">
        <v>47</v>
      </c>
      <c r="E210" t="s">
        <v>211</v>
      </c>
      <c r="F210">
        <v>30</v>
      </c>
      <c r="G210" t="s">
        <v>193</v>
      </c>
      <c r="H210" t="b">
        <v>1</v>
      </c>
      <c r="I210">
        <v>1</v>
      </c>
      <c r="J210" t="s">
        <v>194</v>
      </c>
      <c r="K210" s="40" t="b">
        <v>0</v>
      </c>
      <c r="L210" t="s">
        <v>207</v>
      </c>
    </row>
    <row r="211" spans="1:12" x14ac:dyDescent="0.3">
      <c r="A211" t="s">
        <v>60</v>
      </c>
      <c r="B211" s="56" t="s">
        <v>61</v>
      </c>
      <c r="C211">
        <v>2025</v>
      </c>
      <c r="D211" t="s">
        <v>48</v>
      </c>
      <c r="E211" t="s">
        <v>211</v>
      </c>
      <c r="F211">
        <v>86</v>
      </c>
      <c r="G211" t="s">
        <v>193</v>
      </c>
      <c r="H211" t="b">
        <v>1</v>
      </c>
      <c r="I211">
        <v>1</v>
      </c>
      <c r="J211" t="s">
        <v>194</v>
      </c>
      <c r="K211" s="40" t="b">
        <v>0</v>
      </c>
      <c r="L211" t="s">
        <v>207</v>
      </c>
    </row>
    <row r="212" spans="1:12" x14ac:dyDescent="0.3">
      <c r="A212" t="s">
        <v>60</v>
      </c>
      <c r="B212" s="56" t="s">
        <v>61</v>
      </c>
      <c r="C212">
        <v>2025</v>
      </c>
      <c r="D212" t="s">
        <v>49</v>
      </c>
      <c r="E212" t="s">
        <v>211</v>
      </c>
      <c r="F212">
        <v>26</v>
      </c>
      <c r="G212" t="s">
        <v>193</v>
      </c>
      <c r="H212" t="b">
        <v>1</v>
      </c>
      <c r="I212">
        <v>1</v>
      </c>
      <c r="J212" t="s">
        <v>194</v>
      </c>
      <c r="K212" s="40" t="b">
        <v>0</v>
      </c>
      <c r="L212" t="s">
        <v>207</v>
      </c>
    </row>
    <row r="213" spans="1:12" x14ac:dyDescent="0.3">
      <c r="A213" t="s">
        <v>60</v>
      </c>
      <c r="B213" s="56" t="s">
        <v>61</v>
      </c>
      <c r="C213">
        <v>2025</v>
      </c>
      <c r="D213" t="s">
        <v>50</v>
      </c>
      <c r="E213" t="s">
        <v>211</v>
      </c>
      <c r="F213">
        <v>119</v>
      </c>
      <c r="G213" t="s">
        <v>193</v>
      </c>
      <c r="H213" t="b">
        <v>1</v>
      </c>
      <c r="I213">
        <v>1</v>
      </c>
      <c r="J213" t="s">
        <v>194</v>
      </c>
      <c r="K213" s="40" t="b">
        <v>0</v>
      </c>
      <c r="L213" t="s">
        <v>207</v>
      </c>
    </row>
    <row r="214" spans="1:12" x14ac:dyDescent="0.3">
      <c r="A214" t="s">
        <v>60</v>
      </c>
      <c r="B214" s="56" t="s">
        <v>61</v>
      </c>
      <c r="C214">
        <v>2025</v>
      </c>
      <c r="D214" t="s">
        <v>51</v>
      </c>
      <c r="E214" t="s">
        <v>211</v>
      </c>
      <c r="F214">
        <v>52</v>
      </c>
      <c r="G214" t="s">
        <v>193</v>
      </c>
      <c r="H214" t="b">
        <v>1</v>
      </c>
      <c r="I214">
        <v>1</v>
      </c>
      <c r="J214" t="s">
        <v>194</v>
      </c>
      <c r="K214" s="40" t="b">
        <v>0</v>
      </c>
      <c r="L214" t="s">
        <v>207</v>
      </c>
    </row>
    <row r="215" spans="1:12" x14ac:dyDescent="0.3">
      <c r="A215" t="s">
        <v>60</v>
      </c>
      <c r="B215" s="56" t="s">
        <v>61</v>
      </c>
      <c r="C215">
        <v>2025</v>
      </c>
      <c r="D215" t="s">
        <v>52</v>
      </c>
      <c r="E215" t="s">
        <v>211</v>
      </c>
      <c r="F215">
        <v>66</v>
      </c>
      <c r="G215" t="s">
        <v>193</v>
      </c>
      <c r="H215" t="b">
        <v>1</v>
      </c>
      <c r="I215">
        <v>1</v>
      </c>
      <c r="J215" t="s">
        <v>194</v>
      </c>
      <c r="K215" s="40" t="b">
        <v>0</v>
      </c>
      <c r="L215" t="s">
        <v>207</v>
      </c>
    </row>
    <row r="216" spans="1:12" x14ac:dyDescent="0.3">
      <c r="A216" t="s">
        <v>60</v>
      </c>
      <c r="B216" s="56" t="s">
        <v>61</v>
      </c>
      <c r="C216">
        <v>2025</v>
      </c>
      <c r="D216" t="s">
        <v>53</v>
      </c>
      <c r="E216" t="s">
        <v>211</v>
      </c>
      <c r="F216">
        <v>70</v>
      </c>
      <c r="G216" t="s">
        <v>193</v>
      </c>
      <c r="H216" t="b">
        <v>1</v>
      </c>
      <c r="I216">
        <v>1</v>
      </c>
      <c r="J216" t="s">
        <v>194</v>
      </c>
      <c r="K216" s="40" t="b">
        <v>0</v>
      </c>
      <c r="L216" t="s">
        <v>207</v>
      </c>
    </row>
    <row r="217" spans="1:12" x14ac:dyDescent="0.3">
      <c r="A217" t="s">
        <v>60</v>
      </c>
      <c r="B217" s="56" t="s">
        <v>61</v>
      </c>
      <c r="C217">
        <v>2025</v>
      </c>
      <c r="D217" t="s">
        <v>54</v>
      </c>
      <c r="E217" t="s">
        <v>211</v>
      </c>
      <c r="F217">
        <v>40</v>
      </c>
      <c r="G217" t="s">
        <v>193</v>
      </c>
      <c r="H217" t="b">
        <v>1</v>
      </c>
      <c r="I217">
        <v>1</v>
      </c>
      <c r="J217" t="s">
        <v>194</v>
      </c>
      <c r="K217" s="40" t="b">
        <v>0</v>
      </c>
      <c r="L217" t="s">
        <v>207</v>
      </c>
    </row>
    <row r="218" spans="1:12" x14ac:dyDescent="0.3">
      <c r="A218" t="s">
        <v>60</v>
      </c>
      <c r="B218" s="56" t="s">
        <v>61</v>
      </c>
      <c r="C218">
        <v>2025</v>
      </c>
      <c r="D218" t="s">
        <v>55</v>
      </c>
      <c r="E218" t="s">
        <v>211</v>
      </c>
      <c r="F218">
        <v>108</v>
      </c>
      <c r="G218" t="s">
        <v>193</v>
      </c>
      <c r="H218" t="b">
        <v>1</v>
      </c>
      <c r="I218">
        <v>1</v>
      </c>
      <c r="J218" t="s">
        <v>194</v>
      </c>
      <c r="K218" s="40" t="b">
        <v>0</v>
      </c>
      <c r="L218" t="s">
        <v>207</v>
      </c>
    </row>
    <row r="219" spans="1:12" x14ac:dyDescent="0.3">
      <c r="A219" t="s">
        <v>60</v>
      </c>
      <c r="B219" s="56" t="s">
        <v>61</v>
      </c>
      <c r="C219">
        <v>2025</v>
      </c>
      <c r="D219" t="s">
        <v>56</v>
      </c>
      <c r="E219" t="s">
        <v>211</v>
      </c>
      <c r="F219">
        <v>98</v>
      </c>
      <c r="G219" t="s">
        <v>193</v>
      </c>
      <c r="H219" t="b">
        <v>1</v>
      </c>
      <c r="I219">
        <v>1</v>
      </c>
      <c r="J219" t="s">
        <v>194</v>
      </c>
      <c r="K219" s="40" t="b">
        <v>0</v>
      </c>
      <c r="L219" t="s">
        <v>207</v>
      </c>
    </row>
    <row r="220" spans="1:12" x14ac:dyDescent="0.3">
      <c r="B220" s="56"/>
      <c r="K220" s="40"/>
    </row>
    <row r="221" spans="1:12" x14ac:dyDescent="0.3">
      <c r="A221" t="s">
        <v>60</v>
      </c>
      <c r="B221" s="56" t="s">
        <v>61</v>
      </c>
      <c r="C221">
        <v>2025</v>
      </c>
      <c r="D221" t="s">
        <v>2</v>
      </c>
      <c r="E221" t="s">
        <v>212</v>
      </c>
      <c r="F221">
        <v>79</v>
      </c>
      <c r="G221" t="s">
        <v>193</v>
      </c>
      <c r="H221" t="b">
        <v>1</v>
      </c>
      <c r="I221">
        <v>1</v>
      </c>
      <c r="J221" t="s">
        <v>194</v>
      </c>
      <c r="K221" s="40" t="b">
        <v>0</v>
      </c>
      <c r="L221" t="s">
        <v>213</v>
      </c>
    </row>
    <row r="222" spans="1:12" x14ac:dyDescent="0.3">
      <c r="A222" t="s">
        <v>60</v>
      </c>
      <c r="B222" s="56" t="s">
        <v>61</v>
      </c>
      <c r="C222">
        <v>2025</v>
      </c>
      <c r="D222" t="s">
        <v>46</v>
      </c>
      <c r="E222" t="s">
        <v>212</v>
      </c>
      <c r="F222">
        <v>59</v>
      </c>
      <c r="G222" t="s">
        <v>193</v>
      </c>
      <c r="H222" t="b">
        <v>1</v>
      </c>
      <c r="I222">
        <v>1</v>
      </c>
      <c r="J222" t="s">
        <v>194</v>
      </c>
      <c r="K222" s="40" t="b">
        <v>0</v>
      </c>
      <c r="L222" t="s">
        <v>213</v>
      </c>
    </row>
    <row r="223" spans="1:12" x14ac:dyDescent="0.3">
      <c r="A223" t="s">
        <v>60</v>
      </c>
      <c r="B223" s="56" t="s">
        <v>61</v>
      </c>
      <c r="C223">
        <v>2025</v>
      </c>
      <c r="D223" t="s">
        <v>47</v>
      </c>
      <c r="E223" t="s">
        <v>212</v>
      </c>
      <c r="F223">
        <v>87</v>
      </c>
      <c r="G223" t="s">
        <v>193</v>
      </c>
      <c r="H223" t="b">
        <v>1</v>
      </c>
      <c r="I223">
        <v>1</v>
      </c>
      <c r="J223" t="s">
        <v>194</v>
      </c>
      <c r="K223" s="40" t="b">
        <v>0</v>
      </c>
      <c r="L223" t="s">
        <v>213</v>
      </c>
    </row>
    <row r="224" spans="1:12" x14ac:dyDescent="0.3">
      <c r="A224" t="s">
        <v>60</v>
      </c>
      <c r="B224" s="56" t="s">
        <v>61</v>
      </c>
      <c r="C224">
        <v>2025</v>
      </c>
      <c r="D224" t="s">
        <v>48</v>
      </c>
      <c r="E224" t="s">
        <v>212</v>
      </c>
      <c r="F224">
        <v>60</v>
      </c>
      <c r="G224" t="s">
        <v>193</v>
      </c>
      <c r="H224" t="b">
        <v>1</v>
      </c>
      <c r="I224">
        <v>1</v>
      </c>
      <c r="J224" t="s">
        <v>194</v>
      </c>
      <c r="K224" s="40" t="b">
        <v>0</v>
      </c>
      <c r="L224" t="s">
        <v>213</v>
      </c>
    </row>
    <row r="225" spans="1:12" x14ac:dyDescent="0.3">
      <c r="A225" t="s">
        <v>60</v>
      </c>
      <c r="B225" s="56" t="s">
        <v>61</v>
      </c>
      <c r="C225">
        <v>2025</v>
      </c>
      <c r="D225" t="s">
        <v>49</v>
      </c>
      <c r="E225" t="s">
        <v>212</v>
      </c>
      <c r="F225">
        <v>31</v>
      </c>
      <c r="G225" t="s">
        <v>193</v>
      </c>
      <c r="H225" t="b">
        <v>1</v>
      </c>
      <c r="I225">
        <v>1</v>
      </c>
      <c r="J225" t="s">
        <v>194</v>
      </c>
      <c r="K225" s="40" t="b">
        <v>0</v>
      </c>
      <c r="L225" t="s">
        <v>205</v>
      </c>
    </row>
    <row r="226" spans="1:12" x14ac:dyDescent="0.3">
      <c r="A226" t="s">
        <v>60</v>
      </c>
      <c r="B226" s="56" t="s">
        <v>61</v>
      </c>
      <c r="C226">
        <v>2025</v>
      </c>
      <c r="D226" t="s">
        <v>50</v>
      </c>
      <c r="E226" t="s">
        <v>212</v>
      </c>
      <c r="F226">
        <v>102</v>
      </c>
      <c r="G226" t="s">
        <v>193</v>
      </c>
      <c r="H226" t="b">
        <v>1</v>
      </c>
      <c r="I226">
        <v>1</v>
      </c>
      <c r="J226" t="s">
        <v>194</v>
      </c>
      <c r="K226" s="40" t="b">
        <v>0</v>
      </c>
      <c r="L226" t="s">
        <v>213</v>
      </c>
    </row>
    <row r="227" spans="1:12" x14ac:dyDescent="0.3">
      <c r="A227" t="s">
        <v>60</v>
      </c>
      <c r="B227" s="56" t="s">
        <v>61</v>
      </c>
      <c r="C227">
        <v>2025</v>
      </c>
      <c r="D227" t="s">
        <v>51</v>
      </c>
      <c r="E227" t="s">
        <v>212</v>
      </c>
      <c r="F227">
        <v>47</v>
      </c>
      <c r="G227" t="s">
        <v>193</v>
      </c>
      <c r="H227" t="b">
        <v>1</v>
      </c>
      <c r="I227">
        <v>1</v>
      </c>
      <c r="J227" t="s">
        <v>194</v>
      </c>
      <c r="K227" s="40" t="b">
        <v>0</v>
      </c>
      <c r="L227" t="s">
        <v>213</v>
      </c>
    </row>
    <row r="228" spans="1:12" x14ac:dyDescent="0.3">
      <c r="A228" t="s">
        <v>60</v>
      </c>
      <c r="B228" s="56" t="s">
        <v>61</v>
      </c>
      <c r="C228">
        <v>2025</v>
      </c>
      <c r="D228" t="s">
        <v>52</v>
      </c>
      <c r="E228" t="s">
        <v>212</v>
      </c>
      <c r="F228">
        <v>82</v>
      </c>
      <c r="G228" t="s">
        <v>193</v>
      </c>
      <c r="H228" t="b">
        <v>1</v>
      </c>
      <c r="I228">
        <v>1</v>
      </c>
      <c r="J228" t="s">
        <v>194</v>
      </c>
      <c r="K228" s="40" t="b">
        <v>0</v>
      </c>
      <c r="L228" t="s">
        <v>213</v>
      </c>
    </row>
    <row r="229" spans="1:12" x14ac:dyDescent="0.3">
      <c r="A229" t="s">
        <v>60</v>
      </c>
      <c r="B229" s="56" t="s">
        <v>61</v>
      </c>
      <c r="C229">
        <v>2025</v>
      </c>
      <c r="D229" t="s">
        <v>53</v>
      </c>
      <c r="E229" t="s">
        <v>212</v>
      </c>
      <c r="F229">
        <v>45</v>
      </c>
      <c r="G229" t="s">
        <v>193</v>
      </c>
      <c r="H229" t="b">
        <v>1</v>
      </c>
      <c r="I229">
        <v>1</v>
      </c>
      <c r="J229" t="s">
        <v>194</v>
      </c>
      <c r="K229" s="40" t="b">
        <v>0</v>
      </c>
      <c r="L229" t="s">
        <v>213</v>
      </c>
    </row>
    <row r="230" spans="1:12" x14ac:dyDescent="0.3">
      <c r="A230" t="s">
        <v>60</v>
      </c>
      <c r="B230" s="56" t="s">
        <v>61</v>
      </c>
      <c r="C230">
        <v>2025</v>
      </c>
      <c r="D230" t="s">
        <v>54</v>
      </c>
      <c r="E230" t="s">
        <v>212</v>
      </c>
      <c r="F230">
        <v>42</v>
      </c>
      <c r="G230" t="s">
        <v>193</v>
      </c>
      <c r="H230" t="b">
        <v>1</v>
      </c>
      <c r="I230">
        <v>1</v>
      </c>
      <c r="J230" t="s">
        <v>194</v>
      </c>
      <c r="K230" s="40" t="b">
        <v>0</v>
      </c>
      <c r="L230" t="s">
        <v>213</v>
      </c>
    </row>
    <row r="231" spans="1:12" x14ac:dyDescent="0.3">
      <c r="A231" t="s">
        <v>60</v>
      </c>
      <c r="B231" s="56" t="s">
        <v>61</v>
      </c>
      <c r="C231">
        <v>2025</v>
      </c>
      <c r="D231" t="s">
        <v>55</v>
      </c>
      <c r="E231" t="s">
        <v>212</v>
      </c>
      <c r="F231">
        <v>57</v>
      </c>
      <c r="G231" t="s">
        <v>193</v>
      </c>
      <c r="H231" t="b">
        <v>1</v>
      </c>
      <c r="I231">
        <v>1</v>
      </c>
      <c r="J231" t="s">
        <v>194</v>
      </c>
      <c r="K231" s="40" t="b">
        <v>0</v>
      </c>
      <c r="L231" t="s">
        <v>213</v>
      </c>
    </row>
    <row r="232" spans="1:12" x14ac:dyDescent="0.3">
      <c r="A232" t="s">
        <v>60</v>
      </c>
      <c r="B232" s="56" t="s">
        <v>61</v>
      </c>
      <c r="C232">
        <v>2025</v>
      </c>
      <c r="D232" t="s">
        <v>56</v>
      </c>
      <c r="E232" t="s">
        <v>212</v>
      </c>
      <c r="F232">
        <v>62</v>
      </c>
      <c r="G232" t="s">
        <v>193</v>
      </c>
      <c r="H232" t="b">
        <v>1</v>
      </c>
      <c r="I232">
        <v>1</v>
      </c>
      <c r="J232" t="s">
        <v>194</v>
      </c>
      <c r="K232" s="40" t="b">
        <v>0</v>
      </c>
      <c r="L232" t="s">
        <v>213</v>
      </c>
    </row>
    <row r="233" spans="1:12" x14ac:dyDescent="0.3">
      <c r="B233" s="56"/>
      <c r="K233" s="40"/>
    </row>
    <row r="234" spans="1:12" x14ac:dyDescent="0.3">
      <c r="A234" t="s">
        <v>60</v>
      </c>
      <c r="B234" s="56" t="s">
        <v>61</v>
      </c>
      <c r="C234">
        <v>2025</v>
      </c>
      <c r="D234" t="s">
        <v>2</v>
      </c>
      <c r="E234" t="s">
        <v>214</v>
      </c>
      <c r="F234">
        <v>44</v>
      </c>
      <c r="G234" t="s">
        <v>193</v>
      </c>
      <c r="H234" t="b">
        <v>1</v>
      </c>
      <c r="I234">
        <v>1</v>
      </c>
      <c r="J234" t="s">
        <v>194</v>
      </c>
      <c r="K234" s="40" t="b">
        <v>0</v>
      </c>
      <c r="L234" t="s">
        <v>203</v>
      </c>
    </row>
    <row r="235" spans="1:12" x14ac:dyDescent="0.3">
      <c r="A235" t="s">
        <v>60</v>
      </c>
      <c r="B235" s="56" t="s">
        <v>61</v>
      </c>
      <c r="C235">
        <v>2025</v>
      </c>
      <c r="D235" t="s">
        <v>46</v>
      </c>
      <c r="E235" t="s">
        <v>214</v>
      </c>
      <c r="F235">
        <v>41</v>
      </c>
      <c r="G235" t="s">
        <v>193</v>
      </c>
      <c r="H235" t="b">
        <v>1</v>
      </c>
      <c r="I235">
        <v>1</v>
      </c>
      <c r="J235" t="s">
        <v>194</v>
      </c>
      <c r="K235" s="40" t="b">
        <v>0</v>
      </c>
      <c r="L235" t="s">
        <v>203</v>
      </c>
    </row>
    <row r="236" spans="1:12" x14ac:dyDescent="0.3">
      <c r="A236" t="s">
        <v>60</v>
      </c>
      <c r="B236" s="56" t="s">
        <v>61</v>
      </c>
      <c r="C236">
        <v>2025</v>
      </c>
      <c r="D236" t="s">
        <v>47</v>
      </c>
      <c r="E236" t="s">
        <v>214</v>
      </c>
      <c r="F236">
        <v>33</v>
      </c>
      <c r="G236" t="s">
        <v>193</v>
      </c>
      <c r="H236" t="b">
        <v>1</v>
      </c>
      <c r="I236">
        <v>1</v>
      </c>
      <c r="J236" t="s">
        <v>194</v>
      </c>
      <c r="K236" s="40" t="b">
        <v>0</v>
      </c>
      <c r="L236" t="s">
        <v>203</v>
      </c>
    </row>
    <row r="237" spans="1:12" x14ac:dyDescent="0.3">
      <c r="A237" t="s">
        <v>60</v>
      </c>
      <c r="B237" s="56" t="s">
        <v>61</v>
      </c>
      <c r="C237">
        <v>2025</v>
      </c>
      <c r="D237" t="s">
        <v>48</v>
      </c>
      <c r="E237" t="s">
        <v>214</v>
      </c>
      <c r="F237">
        <v>27</v>
      </c>
      <c r="G237" t="s">
        <v>193</v>
      </c>
      <c r="H237" t="b">
        <v>1</v>
      </c>
      <c r="I237">
        <v>1</v>
      </c>
      <c r="J237" t="s">
        <v>194</v>
      </c>
      <c r="K237" s="40" t="b">
        <v>0</v>
      </c>
      <c r="L237" t="s">
        <v>203</v>
      </c>
    </row>
    <row r="238" spans="1:12" x14ac:dyDescent="0.3">
      <c r="A238" t="s">
        <v>60</v>
      </c>
      <c r="B238" s="56" t="s">
        <v>61</v>
      </c>
      <c r="C238">
        <v>2025</v>
      </c>
      <c r="D238" t="s">
        <v>49</v>
      </c>
      <c r="E238" t="s">
        <v>214</v>
      </c>
      <c r="F238">
        <v>20</v>
      </c>
      <c r="G238" t="s">
        <v>193</v>
      </c>
      <c r="H238" t="b">
        <v>1</v>
      </c>
      <c r="I238">
        <v>1</v>
      </c>
      <c r="J238" t="s">
        <v>194</v>
      </c>
      <c r="K238" s="40" t="b">
        <v>0</v>
      </c>
      <c r="L238" t="s">
        <v>203</v>
      </c>
    </row>
    <row r="239" spans="1:12" x14ac:dyDescent="0.3">
      <c r="A239" t="s">
        <v>60</v>
      </c>
      <c r="B239" s="56" t="s">
        <v>61</v>
      </c>
      <c r="C239">
        <v>2025</v>
      </c>
      <c r="D239" t="s">
        <v>50</v>
      </c>
      <c r="E239" t="s">
        <v>214</v>
      </c>
      <c r="F239">
        <v>39</v>
      </c>
      <c r="G239" t="s">
        <v>193</v>
      </c>
      <c r="H239" t="b">
        <v>1</v>
      </c>
      <c r="I239">
        <v>1</v>
      </c>
      <c r="J239" t="s">
        <v>194</v>
      </c>
      <c r="K239" s="40" t="b">
        <v>0</v>
      </c>
      <c r="L239" t="s">
        <v>203</v>
      </c>
    </row>
    <row r="240" spans="1:12" x14ac:dyDescent="0.3">
      <c r="A240" t="s">
        <v>60</v>
      </c>
      <c r="B240" s="56" t="s">
        <v>61</v>
      </c>
      <c r="C240">
        <v>2025</v>
      </c>
      <c r="D240" t="s">
        <v>51</v>
      </c>
      <c r="E240" t="s">
        <v>214</v>
      </c>
      <c r="F240">
        <v>28</v>
      </c>
      <c r="G240" t="s">
        <v>193</v>
      </c>
      <c r="H240" t="b">
        <v>1</v>
      </c>
      <c r="I240">
        <v>1</v>
      </c>
      <c r="J240" t="s">
        <v>194</v>
      </c>
      <c r="K240" s="40" t="b">
        <v>0</v>
      </c>
      <c r="L240" t="s">
        <v>203</v>
      </c>
    </row>
    <row r="241" spans="1:12" x14ac:dyDescent="0.3">
      <c r="A241" t="s">
        <v>60</v>
      </c>
      <c r="B241" s="56" t="s">
        <v>61</v>
      </c>
      <c r="C241">
        <v>2025</v>
      </c>
      <c r="D241" t="s">
        <v>52</v>
      </c>
      <c r="E241" t="s">
        <v>214</v>
      </c>
      <c r="F241">
        <v>30</v>
      </c>
      <c r="G241" t="s">
        <v>193</v>
      </c>
      <c r="H241" t="b">
        <v>1</v>
      </c>
      <c r="I241">
        <v>1</v>
      </c>
      <c r="J241" t="s">
        <v>194</v>
      </c>
      <c r="K241" s="40" t="b">
        <v>0</v>
      </c>
      <c r="L241" t="s">
        <v>203</v>
      </c>
    </row>
    <row r="242" spans="1:12" x14ac:dyDescent="0.3">
      <c r="A242" t="s">
        <v>60</v>
      </c>
      <c r="B242" s="56" t="s">
        <v>61</v>
      </c>
      <c r="C242">
        <v>2025</v>
      </c>
      <c r="D242" t="s">
        <v>53</v>
      </c>
      <c r="E242" t="s">
        <v>214</v>
      </c>
      <c r="F242">
        <v>46</v>
      </c>
      <c r="G242" t="s">
        <v>193</v>
      </c>
      <c r="H242" t="b">
        <v>1</v>
      </c>
      <c r="I242">
        <v>1</v>
      </c>
      <c r="J242" t="s">
        <v>194</v>
      </c>
      <c r="K242" s="40" t="b">
        <v>0</v>
      </c>
      <c r="L242" t="s">
        <v>203</v>
      </c>
    </row>
    <row r="243" spans="1:12" x14ac:dyDescent="0.3">
      <c r="A243" t="s">
        <v>60</v>
      </c>
      <c r="B243" s="56" t="s">
        <v>61</v>
      </c>
      <c r="C243">
        <v>2025</v>
      </c>
      <c r="D243" t="s">
        <v>54</v>
      </c>
      <c r="E243" t="s">
        <v>214</v>
      </c>
      <c r="F243">
        <v>45</v>
      </c>
      <c r="G243" t="s">
        <v>193</v>
      </c>
      <c r="H243" t="b">
        <v>1</v>
      </c>
      <c r="I243">
        <v>1</v>
      </c>
      <c r="J243" t="s">
        <v>194</v>
      </c>
      <c r="K243" s="40" t="b">
        <v>0</v>
      </c>
      <c r="L243" t="s">
        <v>203</v>
      </c>
    </row>
    <row r="244" spans="1:12" x14ac:dyDescent="0.3">
      <c r="A244" t="s">
        <v>60</v>
      </c>
      <c r="B244" s="56" t="s">
        <v>61</v>
      </c>
      <c r="C244">
        <v>2025</v>
      </c>
      <c r="D244" t="s">
        <v>55</v>
      </c>
      <c r="E244" t="s">
        <v>214</v>
      </c>
      <c r="F244">
        <v>29</v>
      </c>
      <c r="G244" t="s">
        <v>193</v>
      </c>
      <c r="H244" t="b">
        <v>1</v>
      </c>
      <c r="I244">
        <v>1</v>
      </c>
      <c r="J244" t="s">
        <v>194</v>
      </c>
      <c r="K244" s="40" t="b">
        <v>0</v>
      </c>
      <c r="L244" t="s">
        <v>203</v>
      </c>
    </row>
    <row r="245" spans="1:12" x14ac:dyDescent="0.3">
      <c r="A245" t="s">
        <v>60</v>
      </c>
      <c r="B245" s="56" t="s">
        <v>61</v>
      </c>
      <c r="C245">
        <v>2025</v>
      </c>
      <c r="D245" t="s">
        <v>56</v>
      </c>
      <c r="E245" t="s">
        <v>214</v>
      </c>
      <c r="F245">
        <v>28</v>
      </c>
      <c r="G245" t="s">
        <v>193</v>
      </c>
      <c r="H245" t="b">
        <v>1</v>
      </c>
      <c r="I245">
        <v>1</v>
      </c>
      <c r="J245" t="s">
        <v>194</v>
      </c>
      <c r="K245" s="40" t="b">
        <v>0</v>
      </c>
      <c r="L245" t="s">
        <v>203</v>
      </c>
    </row>
    <row r="248" spans="1:12" x14ac:dyDescent="0.3">
      <c r="A248" t="s">
        <v>69</v>
      </c>
      <c r="B248" s="57" t="s">
        <v>70</v>
      </c>
      <c r="C248">
        <v>2025</v>
      </c>
      <c r="D248" t="s">
        <v>2</v>
      </c>
      <c r="E248" t="s">
        <v>202</v>
      </c>
      <c r="F248">
        <v>88</v>
      </c>
      <c r="G248" t="s">
        <v>193</v>
      </c>
      <c r="H248" t="b">
        <v>1</v>
      </c>
      <c r="I248">
        <v>1</v>
      </c>
      <c r="J248" t="s">
        <v>194</v>
      </c>
      <c r="K248" s="40" t="b">
        <v>0</v>
      </c>
      <c r="L248" t="s">
        <v>203</v>
      </c>
    </row>
    <row r="249" spans="1:12" x14ac:dyDescent="0.3">
      <c r="A249" t="s">
        <v>69</v>
      </c>
      <c r="B249" s="57" t="s">
        <v>70</v>
      </c>
      <c r="C249">
        <v>2025</v>
      </c>
      <c r="D249" t="s">
        <v>46</v>
      </c>
      <c r="E249" t="s">
        <v>202</v>
      </c>
      <c r="F249">
        <v>45</v>
      </c>
      <c r="G249" t="s">
        <v>193</v>
      </c>
      <c r="H249" t="b">
        <v>1</v>
      </c>
      <c r="I249">
        <v>1</v>
      </c>
      <c r="J249" t="s">
        <v>194</v>
      </c>
      <c r="K249" s="40" t="b">
        <v>0</v>
      </c>
      <c r="L249" t="s">
        <v>203</v>
      </c>
    </row>
    <row r="250" spans="1:12" x14ac:dyDescent="0.3">
      <c r="A250" t="s">
        <v>69</v>
      </c>
      <c r="B250" s="57" t="s">
        <v>70</v>
      </c>
      <c r="C250">
        <v>2025</v>
      </c>
      <c r="D250" t="s">
        <v>47</v>
      </c>
      <c r="E250" t="s">
        <v>202</v>
      </c>
      <c r="F250">
        <v>45</v>
      </c>
      <c r="G250" t="s">
        <v>193</v>
      </c>
      <c r="H250" t="b">
        <v>1</v>
      </c>
      <c r="I250">
        <v>1</v>
      </c>
      <c r="J250" t="s">
        <v>194</v>
      </c>
      <c r="K250" s="40" t="b">
        <v>0</v>
      </c>
      <c r="L250" t="s">
        <v>203</v>
      </c>
    </row>
    <row r="251" spans="1:12" x14ac:dyDescent="0.3">
      <c r="A251" t="s">
        <v>69</v>
      </c>
      <c r="B251" s="57" t="s">
        <v>70</v>
      </c>
      <c r="C251">
        <v>2025</v>
      </c>
      <c r="D251" t="s">
        <v>48</v>
      </c>
      <c r="E251" t="s">
        <v>202</v>
      </c>
      <c r="F251">
        <v>59</v>
      </c>
      <c r="G251" t="s">
        <v>193</v>
      </c>
      <c r="H251" t="b">
        <v>1</v>
      </c>
      <c r="I251">
        <v>1</v>
      </c>
      <c r="J251" t="s">
        <v>194</v>
      </c>
      <c r="K251" s="40" t="b">
        <v>0</v>
      </c>
      <c r="L251" t="s">
        <v>203</v>
      </c>
    </row>
    <row r="252" spans="1:12" x14ac:dyDescent="0.3">
      <c r="A252" t="s">
        <v>69</v>
      </c>
      <c r="B252" s="57" t="s">
        <v>70</v>
      </c>
      <c r="C252">
        <v>2025</v>
      </c>
      <c r="D252" t="s">
        <v>49</v>
      </c>
      <c r="E252" t="s">
        <v>202</v>
      </c>
      <c r="F252">
        <v>63</v>
      </c>
      <c r="G252" t="s">
        <v>193</v>
      </c>
      <c r="H252" t="b">
        <v>1</v>
      </c>
      <c r="I252">
        <v>1</v>
      </c>
      <c r="J252" t="s">
        <v>194</v>
      </c>
      <c r="K252" s="40" t="b">
        <v>0</v>
      </c>
      <c r="L252" t="s">
        <v>203</v>
      </c>
    </row>
    <row r="253" spans="1:12" x14ac:dyDescent="0.3">
      <c r="A253" t="s">
        <v>69</v>
      </c>
      <c r="B253" s="57" t="s">
        <v>70</v>
      </c>
      <c r="C253">
        <v>2025</v>
      </c>
      <c r="D253" t="s">
        <v>50</v>
      </c>
      <c r="E253" t="s">
        <v>202</v>
      </c>
      <c r="F253">
        <v>103</v>
      </c>
      <c r="G253" t="s">
        <v>193</v>
      </c>
      <c r="H253" t="b">
        <v>1</v>
      </c>
      <c r="I253">
        <v>1</v>
      </c>
      <c r="J253" t="s">
        <v>194</v>
      </c>
      <c r="K253" s="40" t="b">
        <v>0</v>
      </c>
      <c r="L253" t="s">
        <v>203</v>
      </c>
    </row>
    <row r="254" spans="1:12" x14ac:dyDescent="0.3">
      <c r="A254" t="s">
        <v>69</v>
      </c>
      <c r="B254" s="57" t="s">
        <v>70</v>
      </c>
      <c r="C254">
        <v>2025</v>
      </c>
      <c r="D254" t="s">
        <v>51</v>
      </c>
      <c r="E254" t="s">
        <v>202</v>
      </c>
      <c r="F254">
        <v>118</v>
      </c>
      <c r="G254" t="s">
        <v>193</v>
      </c>
      <c r="H254" t="b">
        <v>1</v>
      </c>
      <c r="I254">
        <v>1</v>
      </c>
      <c r="J254" t="s">
        <v>194</v>
      </c>
      <c r="K254" s="40" t="b">
        <v>0</v>
      </c>
      <c r="L254" t="s">
        <v>203</v>
      </c>
    </row>
    <row r="255" spans="1:12" x14ac:dyDescent="0.3">
      <c r="A255" t="s">
        <v>69</v>
      </c>
      <c r="B255" s="57" t="s">
        <v>70</v>
      </c>
      <c r="C255">
        <v>2025</v>
      </c>
      <c r="D255" t="s">
        <v>52</v>
      </c>
      <c r="E255" t="s">
        <v>202</v>
      </c>
      <c r="F255">
        <v>104</v>
      </c>
      <c r="G255" t="s">
        <v>193</v>
      </c>
      <c r="H255" t="b">
        <v>1</v>
      </c>
      <c r="I255">
        <v>1</v>
      </c>
      <c r="J255" t="s">
        <v>194</v>
      </c>
      <c r="K255" s="40" t="b">
        <v>0</v>
      </c>
      <c r="L255" t="s">
        <v>203</v>
      </c>
    </row>
    <row r="256" spans="1:12" x14ac:dyDescent="0.3">
      <c r="A256" t="s">
        <v>69</v>
      </c>
      <c r="B256" s="57" t="s">
        <v>70</v>
      </c>
      <c r="C256">
        <v>2025</v>
      </c>
      <c r="D256" t="s">
        <v>53</v>
      </c>
      <c r="E256" t="s">
        <v>202</v>
      </c>
      <c r="F256">
        <v>85</v>
      </c>
      <c r="G256" t="s">
        <v>193</v>
      </c>
      <c r="H256" t="b">
        <v>1</v>
      </c>
      <c r="I256">
        <v>1</v>
      </c>
      <c r="J256" t="s">
        <v>194</v>
      </c>
      <c r="K256" s="40" t="b">
        <v>0</v>
      </c>
      <c r="L256" t="s">
        <v>203</v>
      </c>
    </row>
    <row r="257" spans="1:12" x14ac:dyDescent="0.3">
      <c r="A257" t="s">
        <v>69</v>
      </c>
      <c r="B257" s="57" t="s">
        <v>70</v>
      </c>
      <c r="C257">
        <v>2025</v>
      </c>
      <c r="D257" t="s">
        <v>54</v>
      </c>
      <c r="E257" t="s">
        <v>202</v>
      </c>
      <c r="F257">
        <v>87</v>
      </c>
      <c r="G257" t="s">
        <v>193</v>
      </c>
      <c r="H257" t="b">
        <v>1</v>
      </c>
      <c r="I257">
        <v>1</v>
      </c>
      <c r="J257" t="s">
        <v>194</v>
      </c>
      <c r="K257" s="40" t="b">
        <v>0</v>
      </c>
      <c r="L257" t="s">
        <v>203</v>
      </c>
    </row>
    <row r="258" spans="1:12" x14ac:dyDescent="0.3">
      <c r="A258" t="s">
        <v>69</v>
      </c>
      <c r="B258" s="57" t="s">
        <v>70</v>
      </c>
      <c r="C258">
        <v>2025</v>
      </c>
      <c r="D258" t="s">
        <v>55</v>
      </c>
      <c r="E258" t="s">
        <v>202</v>
      </c>
      <c r="F258">
        <v>36</v>
      </c>
      <c r="G258" t="s">
        <v>193</v>
      </c>
      <c r="H258" t="b">
        <v>1</v>
      </c>
      <c r="I258">
        <v>1</v>
      </c>
      <c r="J258" t="s">
        <v>194</v>
      </c>
      <c r="K258" s="40" t="b">
        <v>0</v>
      </c>
      <c r="L258" t="s">
        <v>203</v>
      </c>
    </row>
    <row r="259" spans="1:12" x14ac:dyDescent="0.3">
      <c r="A259" t="s">
        <v>69</v>
      </c>
      <c r="B259" s="57" t="s">
        <v>70</v>
      </c>
      <c r="C259">
        <v>2025</v>
      </c>
      <c r="D259" t="s">
        <v>56</v>
      </c>
      <c r="E259" t="s">
        <v>202</v>
      </c>
      <c r="F259">
        <v>75</v>
      </c>
      <c r="G259" t="s">
        <v>193</v>
      </c>
      <c r="H259" t="b">
        <v>1</v>
      </c>
      <c r="I259">
        <v>1</v>
      </c>
      <c r="J259" t="s">
        <v>194</v>
      </c>
      <c r="K259" s="40" t="b">
        <v>0</v>
      </c>
      <c r="L259" t="s">
        <v>203</v>
      </c>
    </row>
    <row r="260" spans="1:12" x14ac:dyDescent="0.3">
      <c r="B260" s="57"/>
      <c r="K260" s="40"/>
    </row>
    <row r="261" spans="1:12" x14ac:dyDescent="0.3">
      <c r="A261" t="s">
        <v>69</v>
      </c>
      <c r="B261" s="57" t="s">
        <v>70</v>
      </c>
      <c r="C261">
        <v>2025</v>
      </c>
      <c r="D261" t="s">
        <v>2</v>
      </c>
      <c r="E261" t="s">
        <v>204</v>
      </c>
      <c r="F261">
        <v>113</v>
      </c>
      <c r="G261" t="s">
        <v>193</v>
      </c>
      <c r="H261" t="b">
        <v>1</v>
      </c>
      <c r="I261">
        <v>1</v>
      </c>
      <c r="J261" t="s">
        <v>194</v>
      </c>
      <c r="K261" s="40" t="b">
        <v>0</v>
      </c>
      <c r="L261" t="s">
        <v>205</v>
      </c>
    </row>
    <row r="262" spans="1:12" x14ac:dyDescent="0.3">
      <c r="A262" t="s">
        <v>69</v>
      </c>
      <c r="B262" s="57" t="s">
        <v>70</v>
      </c>
      <c r="C262">
        <v>2025</v>
      </c>
      <c r="D262" t="s">
        <v>46</v>
      </c>
      <c r="E262" t="s">
        <v>204</v>
      </c>
      <c r="F262">
        <v>89</v>
      </c>
      <c r="G262" t="s">
        <v>193</v>
      </c>
      <c r="H262" t="b">
        <v>1</v>
      </c>
      <c r="I262">
        <v>1</v>
      </c>
      <c r="J262" t="s">
        <v>194</v>
      </c>
      <c r="K262" s="40" t="b">
        <v>0</v>
      </c>
      <c r="L262" t="s">
        <v>205</v>
      </c>
    </row>
    <row r="263" spans="1:12" x14ac:dyDescent="0.3">
      <c r="A263" t="s">
        <v>69</v>
      </c>
      <c r="B263" s="57" t="s">
        <v>70</v>
      </c>
      <c r="C263">
        <v>2025</v>
      </c>
      <c r="D263" t="s">
        <v>47</v>
      </c>
      <c r="E263" t="s">
        <v>204</v>
      </c>
      <c r="F263">
        <v>70</v>
      </c>
      <c r="G263" t="s">
        <v>193</v>
      </c>
      <c r="H263" t="b">
        <v>1</v>
      </c>
      <c r="I263">
        <v>1</v>
      </c>
      <c r="J263" t="s">
        <v>194</v>
      </c>
      <c r="K263" s="40" t="b">
        <v>0</v>
      </c>
      <c r="L263" t="s">
        <v>203</v>
      </c>
    </row>
    <row r="264" spans="1:12" x14ac:dyDescent="0.3">
      <c r="A264" t="s">
        <v>69</v>
      </c>
      <c r="B264" s="57" t="s">
        <v>70</v>
      </c>
      <c r="C264">
        <v>2025</v>
      </c>
      <c r="D264" t="s">
        <v>48</v>
      </c>
      <c r="E264" t="s">
        <v>204</v>
      </c>
      <c r="F264">
        <v>114</v>
      </c>
      <c r="G264" t="s">
        <v>193</v>
      </c>
      <c r="H264" t="b">
        <v>1</v>
      </c>
      <c r="I264">
        <v>1</v>
      </c>
      <c r="J264" t="s">
        <v>194</v>
      </c>
      <c r="K264" s="40" t="b">
        <v>0</v>
      </c>
      <c r="L264" t="s">
        <v>203</v>
      </c>
    </row>
    <row r="265" spans="1:12" x14ac:dyDescent="0.3">
      <c r="A265" t="s">
        <v>69</v>
      </c>
      <c r="B265" s="57" t="s">
        <v>70</v>
      </c>
      <c r="C265">
        <v>2025</v>
      </c>
      <c r="D265" t="s">
        <v>49</v>
      </c>
      <c r="E265" t="s">
        <v>204</v>
      </c>
      <c r="F265">
        <v>71</v>
      </c>
      <c r="G265" t="s">
        <v>193</v>
      </c>
      <c r="H265" t="b">
        <v>1</v>
      </c>
      <c r="I265">
        <v>1</v>
      </c>
      <c r="J265" t="s">
        <v>194</v>
      </c>
      <c r="K265" s="40" t="b">
        <v>0</v>
      </c>
      <c r="L265" t="s">
        <v>205</v>
      </c>
    </row>
    <row r="266" spans="1:12" x14ac:dyDescent="0.3">
      <c r="A266" t="s">
        <v>69</v>
      </c>
      <c r="B266" s="57" t="s">
        <v>70</v>
      </c>
      <c r="C266">
        <v>2025</v>
      </c>
      <c r="D266" t="s">
        <v>50</v>
      </c>
      <c r="E266" t="s">
        <v>204</v>
      </c>
      <c r="F266">
        <v>106</v>
      </c>
      <c r="G266" t="s">
        <v>193</v>
      </c>
      <c r="H266" t="b">
        <v>1</v>
      </c>
      <c r="I266">
        <v>1</v>
      </c>
      <c r="J266" t="s">
        <v>194</v>
      </c>
      <c r="K266" s="40" t="b">
        <v>0</v>
      </c>
      <c r="L266" t="s">
        <v>203</v>
      </c>
    </row>
    <row r="267" spans="1:12" x14ac:dyDescent="0.3">
      <c r="A267" t="s">
        <v>69</v>
      </c>
      <c r="B267" s="57" t="s">
        <v>70</v>
      </c>
      <c r="C267">
        <v>2025</v>
      </c>
      <c r="D267" t="s">
        <v>51</v>
      </c>
      <c r="E267" t="s">
        <v>204</v>
      </c>
      <c r="F267">
        <v>94</v>
      </c>
      <c r="G267" t="s">
        <v>193</v>
      </c>
      <c r="H267" t="b">
        <v>1</v>
      </c>
      <c r="I267">
        <v>1</v>
      </c>
      <c r="J267" t="s">
        <v>194</v>
      </c>
      <c r="K267" s="40" t="b">
        <v>0</v>
      </c>
      <c r="L267" t="s">
        <v>203</v>
      </c>
    </row>
    <row r="268" spans="1:12" x14ac:dyDescent="0.3">
      <c r="A268" t="s">
        <v>69</v>
      </c>
      <c r="B268" s="57" t="s">
        <v>70</v>
      </c>
      <c r="C268">
        <v>2025</v>
      </c>
      <c r="D268" t="s">
        <v>52</v>
      </c>
      <c r="E268" t="s">
        <v>204</v>
      </c>
      <c r="F268">
        <v>97</v>
      </c>
      <c r="G268" t="s">
        <v>193</v>
      </c>
      <c r="H268" t="b">
        <v>1</v>
      </c>
      <c r="I268">
        <v>1</v>
      </c>
      <c r="J268" t="s">
        <v>194</v>
      </c>
      <c r="K268" s="40" t="b">
        <v>0</v>
      </c>
      <c r="L268" t="s">
        <v>203</v>
      </c>
    </row>
    <row r="269" spans="1:12" x14ac:dyDescent="0.3">
      <c r="A269" t="s">
        <v>69</v>
      </c>
      <c r="B269" s="57" t="s">
        <v>70</v>
      </c>
      <c r="C269">
        <v>2025</v>
      </c>
      <c r="D269" t="s">
        <v>53</v>
      </c>
      <c r="E269" t="s">
        <v>204</v>
      </c>
      <c r="F269">
        <v>24</v>
      </c>
      <c r="G269" t="s">
        <v>193</v>
      </c>
      <c r="H269" t="b">
        <v>1</v>
      </c>
      <c r="I269">
        <v>1</v>
      </c>
      <c r="J269" t="s">
        <v>194</v>
      </c>
      <c r="K269" s="40" t="b">
        <v>0</v>
      </c>
      <c r="L269" t="s">
        <v>203</v>
      </c>
    </row>
    <row r="270" spans="1:12" x14ac:dyDescent="0.3">
      <c r="A270" t="s">
        <v>69</v>
      </c>
      <c r="B270" s="57" t="s">
        <v>70</v>
      </c>
      <c r="C270">
        <v>2025</v>
      </c>
      <c r="D270" t="s">
        <v>54</v>
      </c>
      <c r="E270" t="s">
        <v>204</v>
      </c>
      <c r="F270">
        <v>51</v>
      </c>
      <c r="G270" t="s">
        <v>193</v>
      </c>
      <c r="H270" t="b">
        <v>1</v>
      </c>
      <c r="I270">
        <v>1</v>
      </c>
      <c r="J270" t="s">
        <v>194</v>
      </c>
      <c r="K270" s="40" t="b">
        <v>0</v>
      </c>
      <c r="L270" t="s">
        <v>203</v>
      </c>
    </row>
    <row r="271" spans="1:12" x14ac:dyDescent="0.3">
      <c r="A271" t="s">
        <v>69</v>
      </c>
      <c r="B271" s="57" t="s">
        <v>70</v>
      </c>
      <c r="C271">
        <v>2025</v>
      </c>
      <c r="D271" t="s">
        <v>55</v>
      </c>
      <c r="E271" t="s">
        <v>204</v>
      </c>
      <c r="F271">
        <v>80</v>
      </c>
      <c r="G271" t="s">
        <v>193</v>
      </c>
      <c r="H271" t="b">
        <v>1</v>
      </c>
      <c r="I271">
        <v>1</v>
      </c>
      <c r="J271" t="s">
        <v>194</v>
      </c>
      <c r="K271" s="40" t="b">
        <v>0</v>
      </c>
      <c r="L271" t="s">
        <v>203</v>
      </c>
    </row>
    <row r="272" spans="1:12" x14ac:dyDescent="0.3">
      <c r="A272" t="s">
        <v>69</v>
      </c>
      <c r="B272" s="57" t="s">
        <v>70</v>
      </c>
      <c r="C272">
        <v>2025</v>
      </c>
      <c r="D272" t="s">
        <v>56</v>
      </c>
      <c r="E272" t="s">
        <v>204</v>
      </c>
      <c r="F272">
        <v>58</v>
      </c>
      <c r="G272" t="s">
        <v>193</v>
      </c>
      <c r="H272" t="b">
        <v>1</v>
      </c>
      <c r="I272">
        <v>1</v>
      </c>
      <c r="J272" t="s">
        <v>194</v>
      </c>
      <c r="K272" s="40" t="b">
        <v>0</v>
      </c>
      <c r="L272" t="s">
        <v>203</v>
      </c>
    </row>
    <row r="273" spans="1:12" x14ac:dyDescent="0.3">
      <c r="B273" s="57"/>
      <c r="K273" s="40"/>
    </row>
    <row r="274" spans="1:12" x14ac:dyDescent="0.3">
      <c r="A274" t="s">
        <v>69</v>
      </c>
      <c r="B274" s="57" t="s">
        <v>70</v>
      </c>
      <c r="C274">
        <v>2025</v>
      </c>
      <c r="D274" t="s">
        <v>2</v>
      </c>
      <c r="E274" t="s">
        <v>206</v>
      </c>
      <c r="F274">
        <v>20</v>
      </c>
      <c r="G274" t="s">
        <v>193</v>
      </c>
      <c r="H274" t="b">
        <v>1</v>
      </c>
      <c r="I274">
        <v>1</v>
      </c>
      <c r="J274" t="s">
        <v>194</v>
      </c>
      <c r="K274" s="40" t="b">
        <v>0</v>
      </c>
      <c r="L274" t="s">
        <v>207</v>
      </c>
    </row>
    <row r="275" spans="1:12" x14ac:dyDescent="0.3">
      <c r="A275" t="s">
        <v>69</v>
      </c>
      <c r="B275" s="57" t="s">
        <v>70</v>
      </c>
      <c r="C275">
        <v>2025</v>
      </c>
      <c r="D275" t="s">
        <v>46</v>
      </c>
      <c r="E275" t="s">
        <v>206</v>
      </c>
      <c r="F275">
        <v>73</v>
      </c>
      <c r="G275" t="s">
        <v>193</v>
      </c>
      <c r="H275" t="b">
        <v>1</v>
      </c>
      <c r="I275">
        <v>1</v>
      </c>
      <c r="J275" t="s">
        <v>194</v>
      </c>
      <c r="K275" s="40" t="b">
        <v>0</v>
      </c>
      <c r="L275" t="s">
        <v>207</v>
      </c>
    </row>
    <row r="276" spans="1:12" x14ac:dyDescent="0.3">
      <c r="A276" t="s">
        <v>69</v>
      </c>
      <c r="B276" s="57" t="s">
        <v>70</v>
      </c>
      <c r="C276">
        <v>2025</v>
      </c>
      <c r="D276" t="s">
        <v>47</v>
      </c>
      <c r="E276" t="s">
        <v>206</v>
      </c>
      <c r="F276">
        <v>42</v>
      </c>
      <c r="G276" t="s">
        <v>193</v>
      </c>
      <c r="H276" t="b">
        <v>1</v>
      </c>
      <c r="I276">
        <v>1</v>
      </c>
      <c r="J276" t="s">
        <v>194</v>
      </c>
      <c r="K276" s="40" t="b">
        <v>0</v>
      </c>
      <c r="L276" t="s">
        <v>207</v>
      </c>
    </row>
    <row r="277" spans="1:12" x14ac:dyDescent="0.3">
      <c r="A277" t="s">
        <v>69</v>
      </c>
      <c r="B277" s="57" t="s">
        <v>70</v>
      </c>
      <c r="C277">
        <v>2025</v>
      </c>
      <c r="D277" t="s">
        <v>48</v>
      </c>
      <c r="E277" t="s">
        <v>206</v>
      </c>
      <c r="F277">
        <v>102</v>
      </c>
      <c r="G277" t="s">
        <v>193</v>
      </c>
      <c r="H277" t="b">
        <v>1</v>
      </c>
      <c r="I277">
        <v>1</v>
      </c>
      <c r="J277" t="s">
        <v>194</v>
      </c>
      <c r="K277" s="40" t="b">
        <v>0</v>
      </c>
      <c r="L277" t="s">
        <v>207</v>
      </c>
    </row>
    <row r="278" spans="1:12" x14ac:dyDescent="0.3">
      <c r="A278" t="s">
        <v>69</v>
      </c>
      <c r="B278" s="57" t="s">
        <v>70</v>
      </c>
      <c r="C278">
        <v>2025</v>
      </c>
      <c r="D278" t="s">
        <v>49</v>
      </c>
      <c r="E278" t="s">
        <v>206</v>
      </c>
      <c r="F278">
        <v>80</v>
      </c>
      <c r="G278" t="s">
        <v>193</v>
      </c>
      <c r="H278" t="b">
        <v>1</v>
      </c>
      <c r="I278">
        <v>1</v>
      </c>
      <c r="J278" t="s">
        <v>194</v>
      </c>
      <c r="K278" s="40" t="b">
        <v>0</v>
      </c>
      <c r="L278" t="s">
        <v>207</v>
      </c>
    </row>
    <row r="279" spans="1:12" x14ac:dyDescent="0.3">
      <c r="A279" t="s">
        <v>69</v>
      </c>
      <c r="B279" s="57" t="s">
        <v>70</v>
      </c>
      <c r="C279">
        <v>2025</v>
      </c>
      <c r="D279" t="s">
        <v>50</v>
      </c>
      <c r="E279" t="s">
        <v>206</v>
      </c>
      <c r="F279">
        <v>76</v>
      </c>
      <c r="G279" t="s">
        <v>193</v>
      </c>
      <c r="H279" t="b">
        <v>1</v>
      </c>
      <c r="I279">
        <v>1</v>
      </c>
      <c r="J279" t="s">
        <v>194</v>
      </c>
      <c r="K279" s="40" t="b">
        <v>0</v>
      </c>
      <c r="L279" t="s">
        <v>207</v>
      </c>
    </row>
    <row r="280" spans="1:12" x14ac:dyDescent="0.3">
      <c r="A280" t="s">
        <v>69</v>
      </c>
      <c r="B280" s="57" t="s">
        <v>70</v>
      </c>
      <c r="C280">
        <v>2025</v>
      </c>
      <c r="D280" t="s">
        <v>51</v>
      </c>
      <c r="E280" t="s">
        <v>206</v>
      </c>
      <c r="F280">
        <v>111</v>
      </c>
      <c r="G280" t="s">
        <v>193</v>
      </c>
      <c r="H280" t="b">
        <v>1</v>
      </c>
      <c r="I280">
        <v>1</v>
      </c>
      <c r="J280" t="s">
        <v>194</v>
      </c>
      <c r="K280" s="40" t="b">
        <v>0</v>
      </c>
      <c r="L280" t="s">
        <v>207</v>
      </c>
    </row>
    <row r="281" spans="1:12" x14ac:dyDescent="0.3">
      <c r="A281" t="s">
        <v>69</v>
      </c>
      <c r="B281" s="57" t="s">
        <v>70</v>
      </c>
      <c r="C281">
        <v>2025</v>
      </c>
      <c r="D281" t="s">
        <v>52</v>
      </c>
      <c r="E281" t="s">
        <v>206</v>
      </c>
      <c r="F281">
        <v>64</v>
      </c>
      <c r="G281" t="s">
        <v>193</v>
      </c>
      <c r="H281" t="b">
        <v>1</v>
      </c>
      <c r="I281">
        <v>1</v>
      </c>
      <c r="J281" t="s">
        <v>194</v>
      </c>
      <c r="K281" s="40" t="b">
        <v>0</v>
      </c>
      <c r="L281" t="s">
        <v>207</v>
      </c>
    </row>
    <row r="282" spans="1:12" x14ac:dyDescent="0.3">
      <c r="A282" t="s">
        <v>69</v>
      </c>
      <c r="B282" s="57" t="s">
        <v>70</v>
      </c>
      <c r="C282">
        <v>2025</v>
      </c>
      <c r="D282" t="s">
        <v>53</v>
      </c>
      <c r="E282" t="s">
        <v>206</v>
      </c>
      <c r="F282">
        <v>24</v>
      </c>
      <c r="G282" t="s">
        <v>193</v>
      </c>
      <c r="H282" t="b">
        <v>1</v>
      </c>
      <c r="I282">
        <v>1</v>
      </c>
      <c r="J282" t="s">
        <v>194</v>
      </c>
      <c r="K282" s="40" t="b">
        <v>0</v>
      </c>
      <c r="L282" t="s">
        <v>207</v>
      </c>
    </row>
    <row r="283" spans="1:12" x14ac:dyDescent="0.3">
      <c r="A283" t="s">
        <v>69</v>
      </c>
      <c r="B283" s="57" t="s">
        <v>70</v>
      </c>
      <c r="C283">
        <v>2025</v>
      </c>
      <c r="D283" t="s">
        <v>54</v>
      </c>
      <c r="E283" t="s">
        <v>206</v>
      </c>
      <c r="F283">
        <v>86</v>
      </c>
      <c r="G283" t="s">
        <v>193</v>
      </c>
      <c r="H283" t="b">
        <v>1</v>
      </c>
      <c r="I283">
        <v>1</v>
      </c>
      <c r="J283" t="s">
        <v>194</v>
      </c>
      <c r="K283" s="40" t="b">
        <v>0</v>
      </c>
      <c r="L283" t="s">
        <v>207</v>
      </c>
    </row>
    <row r="284" spans="1:12" x14ac:dyDescent="0.3">
      <c r="A284" t="s">
        <v>69</v>
      </c>
      <c r="B284" s="57" t="s">
        <v>70</v>
      </c>
      <c r="C284">
        <v>2025</v>
      </c>
      <c r="D284" t="s">
        <v>55</v>
      </c>
      <c r="E284" t="s">
        <v>206</v>
      </c>
      <c r="F284">
        <v>111</v>
      </c>
      <c r="G284" t="s">
        <v>193</v>
      </c>
      <c r="H284" t="b">
        <v>1</v>
      </c>
      <c r="I284">
        <v>1</v>
      </c>
      <c r="J284" t="s">
        <v>194</v>
      </c>
      <c r="K284" s="40" t="b">
        <v>0</v>
      </c>
      <c r="L284" t="s">
        <v>207</v>
      </c>
    </row>
    <row r="285" spans="1:12" x14ac:dyDescent="0.3">
      <c r="A285" t="s">
        <v>69</v>
      </c>
      <c r="B285" s="57" t="s">
        <v>70</v>
      </c>
      <c r="C285">
        <v>2025</v>
      </c>
      <c r="D285" t="s">
        <v>56</v>
      </c>
      <c r="E285" t="s">
        <v>206</v>
      </c>
      <c r="F285">
        <v>57</v>
      </c>
      <c r="G285" t="s">
        <v>193</v>
      </c>
      <c r="H285" t="b">
        <v>1</v>
      </c>
      <c r="I285">
        <v>1</v>
      </c>
      <c r="J285" t="s">
        <v>194</v>
      </c>
      <c r="K285" s="40" t="b">
        <v>0</v>
      </c>
      <c r="L285" t="s">
        <v>207</v>
      </c>
    </row>
    <row r="286" spans="1:12" x14ac:dyDescent="0.3">
      <c r="B286" s="57"/>
      <c r="K286" s="40"/>
    </row>
    <row r="287" spans="1:12" x14ac:dyDescent="0.3">
      <c r="A287" t="s">
        <v>69</v>
      </c>
      <c r="B287" s="57" t="s">
        <v>70</v>
      </c>
      <c r="C287">
        <v>2025</v>
      </c>
      <c r="D287" t="s">
        <v>2</v>
      </c>
      <c r="E287" t="s">
        <v>208</v>
      </c>
      <c r="F287">
        <v>73</v>
      </c>
      <c r="G287" t="s">
        <v>193</v>
      </c>
      <c r="H287" t="b">
        <v>1</v>
      </c>
      <c r="I287">
        <v>1</v>
      </c>
      <c r="J287" t="s">
        <v>194</v>
      </c>
      <c r="K287" s="40" t="b">
        <v>0</v>
      </c>
      <c r="L287" t="s">
        <v>205</v>
      </c>
    </row>
    <row r="288" spans="1:12" x14ac:dyDescent="0.3">
      <c r="A288" t="s">
        <v>69</v>
      </c>
      <c r="B288" s="57" t="s">
        <v>70</v>
      </c>
      <c r="C288">
        <v>2025</v>
      </c>
      <c r="D288" t="s">
        <v>46</v>
      </c>
      <c r="E288" t="s">
        <v>208</v>
      </c>
      <c r="F288">
        <v>86</v>
      </c>
      <c r="G288" t="s">
        <v>193</v>
      </c>
      <c r="H288" t="b">
        <v>1</v>
      </c>
      <c r="I288">
        <v>1</v>
      </c>
      <c r="J288" t="s">
        <v>194</v>
      </c>
      <c r="K288" s="40" t="b">
        <v>0</v>
      </c>
      <c r="L288" t="s">
        <v>205</v>
      </c>
    </row>
    <row r="289" spans="1:12" x14ac:dyDescent="0.3">
      <c r="A289" t="s">
        <v>69</v>
      </c>
      <c r="B289" s="57" t="s">
        <v>70</v>
      </c>
      <c r="C289">
        <v>2025</v>
      </c>
      <c r="D289" t="s">
        <v>47</v>
      </c>
      <c r="E289" t="s">
        <v>208</v>
      </c>
      <c r="F289">
        <v>51</v>
      </c>
      <c r="G289" t="s">
        <v>193</v>
      </c>
      <c r="H289" t="b">
        <v>1</v>
      </c>
      <c r="I289">
        <v>1</v>
      </c>
      <c r="J289" t="s">
        <v>194</v>
      </c>
      <c r="K289" s="40" t="b">
        <v>0</v>
      </c>
      <c r="L289" t="s">
        <v>205</v>
      </c>
    </row>
    <row r="290" spans="1:12" x14ac:dyDescent="0.3">
      <c r="A290" t="s">
        <v>69</v>
      </c>
      <c r="B290" s="57" t="s">
        <v>70</v>
      </c>
      <c r="C290">
        <v>2025</v>
      </c>
      <c r="D290" t="s">
        <v>48</v>
      </c>
      <c r="E290" t="s">
        <v>208</v>
      </c>
      <c r="F290">
        <v>102</v>
      </c>
      <c r="G290" t="s">
        <v>193</v>
      </c>
      <c r="H290" t="b">
        <v>1</v>
      </c>
      <c r="I290">
        <v>1</v>
      </c>
      <c r="J290" t="s">
        <v>194</v>
      </c>
      <c r="K290" s="40" t="b">
        <v>0</v>
      </c>
      <c r="L290" t="s">
        <v>205</v>
      </c>
    </row>
    <row r="291" spans="1:12" x14ac:dyDescent="0.3">
      <c r="A291" t="s">
        <v>69</v>
      </c>
      <c r="B291" s="57" t="s">
        <v>70</v>
      </c>
      <c r="C291">
        <v>2025</v>
      </c>
      <c r="D291" t="s">
        <v>49</v>
      </c>
      <c r="E291" t="s">
        <v>208</v>
      </c>
      <c r="F291">
        <v>80</v>
      </c>
      <c r="G291" t="s">
        <v>193</v>
      </c>
      <c r="H291" t="b">
        <v>1</v>
      </c>
      <c r="I291">
        <v>1</v>
      </c>
      <c r="J291" t="s">
        <v>194</v>
      </c>
      <c r="K291" s="40" t="b">
        <v>0</v>
      </c>
      <c r="L291" t="s">
        <v>203</v>
      </c>
    </row>
    <row r="292" spans="1:12" x14ac:dyDescent="0.3">
      <c r="A292" t="s">
        <v>69</v>
      </c>
      <c r="B292" s="57" t="s">
        <v>70</v>
      </c>
      <c r="C292">
        <v>2025</v>
      </c>
      <c r="D292" t="s">
        <v>50</v>
      </c>
      <c r="E292" t="s">
        <v>208</v>
      </c>
      <c r="F292">
        <v>106</v>
      </c>
      <c r="G292" t="s">
        <v>193</v>
      </c>
      <c r="H292" t="b">
        <v>1</v>
      </c>
      <c r="I292">
        <v>1</v>
      </c>
      <c r="J292" t="s">
        <v>194</v>
      </c>
      <c r="K292" s="40" t="b">
        <v>0</v>
      </c>
      <c r="L292" t="s">
        <v>205</v>
      </c>
    </row>
    <row r="293" spans="1:12" x14ac:dyDescent="0.3">
      <c r="A293" t="s">
        <v>69</v>
      </c>
      <c r="B293" s="57" t="s">
        <v>70</v>
      </c>
      <c r="C293">
        <v>2025</v>
      </c>
      <c r="D293" t="s">
        <v>51</v>
      </c>
      <c r="E293" t="s">
        <v>208</v>
      </c>
      <c r="F293">
        <v>43</v>
      </c>
      <c r="G293" t="s">
        <v>193</v>
      </c>
      <c r="H293" t="b">
        <v>1</v>
      </c>
      <c r="I293">
        <v>1</v>
      </c>
      <c r="J293" t="s">
        <v>194</v>
      </c>
      <c r="K293" s="40" t="b">
        <v>0</v>
      </c>
      <c r="L293" t="s">
        <v>205</v>
      </c>
    </row>
    <row r="294" spans="1:12" x14ac:dyDescent="0.3">
      <c r="A294" t="s">
        <v>69</v>
      </c>
      <c r="B294" s="57" t="s">
        <v>70</v>
      </c>
      <c r="C294">
        <v>2025</v>
      </c>
      <c r="D294" t="s">
        <v>52</v>
      </c>
      <c r="E294" t="s">
        <v>208</v>
      </c>
      <c r="F294">
        <v>24</v>
      </c>
      <c r="G294" t="s">
        <v>193</v>
      </c>
      <c r="H294" t="b">
        <v>1</v>
      </c>
      <c r="I294">
        <v>1</v>
      </c>
      <c r="J294" t="s">
        <v>194</v>
      </c>
      <c r="K294" s="40" t="b">
        <v>0</v>
      </c>
      <c r="L294" t="s">
        <v>205</v>
      </c>
    </row>
    <row r="295" spans="1:12" x14ac:dyDescent="0.3">
      <c r="A295" t="s">
        <v>69</v>
      </c>
      <c r="B295" s="57" t="s">
        <v>70</v>
      </c>
      <c r="C295">
        <v>2025</v>
      </c>
      <c r="D295" t="s">
        <v>53</v>
      </c>
      <c r="E295" t="s">
        <v>208</v>
      </c>
      <c r="F295">
        <v>52</v>
      </c>
      <c r="G295" t="s">
        <v>193</v>
      </c>
      <c r="H295" t="b">
        <v>1</v>
      </c>
      <c r="I295">
        <v>1</v>
      </c>
      <c r="J295" t="s">
        <v>194</v>
      </c>
      <c r="K295" s="40" t="b">
        <v>0</v>
      </c>
      <c r="L295" t="s">
        <v>205</v>
      </c>
    </row>
    <row r="296" spans="1:12" x14ac:dyDescent="0.3">
      <c r="A296" t="s">
        <v>69</v>
      </c>
      <c r="B296" s="57" t="s">
        <v>70</v>
      </c>
      <c r="C296">
        <v>2025</v>
      </c>
      <c r="D296" t="s">
        <v>54</v>
      </c>
      <c r="E296" t="s">
        <v>208</v>
      </c>
      <c r="F296">
        <v>79</v>
      </c>
      <c r="G296" t="s">
        <v>193</v>
      </c>
      <c r="H296" t="b">
        <v>1</v>
      </c>
      <c r="I296">
        <v>1</v>
      </c>
      <c r="J296" t="s">
        <v>194</v>
      </c>
      <c r="K296" s="40" t="b">
        <v>0</v>
      </c>
      <c r="L296" t="s">
        <v>205</v>
      </c>
    </row>
    <row r="297" spans="1:12" x14ac:dyDescent="0.3">
      <c r="A297" t="s">
        <v>69</v>
      </c>
      <c r="B297" s="57" t="s">
        <v>70</v>
      </c>
      <c r="C297">
        <v>2025</v>
      </c>
      <c r="D297" t="s">
        <v>55</v>
      </c>
      <c r="E297" t="s">
        <v>208</v>
      </c>
      <c r="F297">
        <v>20</v>
      </c>
      <c r="G297" t="s">
        <v>193</v>
      </c>
      <c r="H297" t="b">
        <v>1</v>
      </c>
      <c r="I297">
        <v>1</v>
      </c>
      <c r="J297" t="s">
        <v>194</v>
      </c>
      <c r="K297" s="40" t="b">
        <v>0</v>
      </c>
      <c r="L297" t="s">
        <v>203</v>
      </c>
    </row>
    <row r="298" spans="1:12" x14ac:dyDescent="0.3">
      <c r="A298" t="s">
        <v>69</v>
      </c>
      <c r="B298" s="57" t="s">
        <v>70</v>
      </c>
      <c r="C298">
        <v>2025</v>
      </c>
      <c r="D298" t="s">
        <v>56</v>
      </c>
      <c r="E298" t="s">
        <v>208</v>
      </c>
      <c r="F298">
        <v>85</v>
      </c>
      <c r="G298" t="s">
        <v>193</v>
      </c>
      <c r="H298" t="b">
        <v>1</v>
      </c>
      <c r="I298">
        <v>1</v>
      </c>
      <c r="J298" t="s">
        <v>194</v>
      </c>
      <c r="K298" s="40" t="b">
        <v>0</v>
      </c>
      <c r="L298" t="s">
        <v>203</v>
      </c>
    </row>
    <row r="299" spans="1:12" x14ac:dyDescent="0.3">
      <c r="B299" s="57"/>
      <c r="K299" s="40"/>
    </row>
    <row r="300" spans="1:12" x14ac:dyDescent="0.3">
      <c r="A300" t="s">
        <v>69</v>
      </c>
      <c r="B300" s="57" t="s">
        <v>70</v>
      </c>
      <c r="C300">
        <v>2025</v>
      </c>
      <c r="D300" t="s">
        <v>2</v>
      </c>
      <c r="E300" t="s">
        <v>209</v>
      </c>
      <c r="F300">
        <v>93</v>
      </c>
      <c r="G300" t="s">
        <v>193</v>
      </c>
      <c r="H300" t="b">
        <v>1</v>
      </c>
      <c r="I300">
        <v>1</v>
      </c>
      <c r="J300" t="s">
        <v>194</v>
      </c>
      <c r="K300" s="40" t="b">
        <v>0</v>
      </c>
      <c r="L300" t="s">
        <v>203</v>
      </c>
    </row>
    <row r="301" spans="1:12" x14ac:dyDescent="0.3">
      <c r="A301" t="s">
        <v>69</v>
      </c>
      <c r="B301" s="57" t="s">
        <v>70</v>
      </c>
      <c r="C301">
        <v>2025</v>
      </c>
      <c r="D301" t="s">
        <v>46</v>
      </c>
      <c r="E301" t="s">
        <v>209</v>
      </c>
      <c r="F301">
        <v>50</v>
      </c>
      <c r="G301" t="s">
        <v>193</v>
      </c>
      <c r="H301" t="b">
        <v>1</v>
      </c>
      <c r="I301">
        <v>1</v>
      </c>
      <c r="J301" t="s">
        <v>194</v>
      </c>
      <c r="K301" s="40" t="b">
        <v>0</v>
      </c>
      <c r="L301" t="s">
        <v>203</v>
      </c>
    </row>
    <row r="302" spans="1:12" x14ac:dyDescent="0.3">
      <c r="A302" t="s">
        <v>69</v>
      </c>
      <c r="B302" s="57" t="s">
        <v>70</v>
      </c>
      <c r="C302">
        <v>2025</v>
      </c>
      <c r="D302" t="s">
        <v>47</v>
      </c>
      <c r="E302" t="s">
        <v>209</v>
      </c>
      <c r="F302">
        <v>96</v>
      </c>
      <c r="G302" t="s">
        <v>193</v>
      </c>
      <c r="H302" t="b">
        <v>1</v>
      </c>
      <c r="I302">
        <v>1</v>
      </c>
      <c r="J302" t="s">
        <v>194</v>
      </c>
      <c r="K302" s="40" t="b">
        <v>0</v>
      </c>
      <c r="L302" t="s">
        <v>203</v>
      </c>
    </row>
    <row r="303" spans="1:12" x14ac:dyDescent="0.3">
      <c r="A303" t="s">
        <v>69</v>
      </c>
      <c r="B303" s="57" t="s">
        <v>70</v>
      </c>
      <c r="C303">
        <v>2025</v>
      </c>
      <c r="D303" t="s">
        <v>48</v>
      </c>
      <c r="E303" t="s">
        <v>209</v>
      </c>
      <c r="F303">
        <v>85</v>
      </c>
      <c r="G303" t="s">
        <v>193</v>
      </c>
      <c r="H303" t="b">
        <v>1</v>
      </c>
      <c r="I303">
        <v>1</v>
      </c>
      <c r="J303" t="s">
        <v>194</v>
      </c>
      <c r="K303" s="40" t="b">
        <v>0</v>
      </c>
      <c r="L303" t="s">
        <v>203</v>
      </c>
    </row>
    <row r="304" spans="1:12" x14ac:dyDescent="0.3">
      <c r="A304" t="s">
        <v>69</v>
      </c>
      <c r="B304" s="57" t="s">
        <v>70</v>
      </c>
      <c r="C304">
        <v>2025</v>
      </c>
      <c r="D304" t="s">
        <v>49</v>
      </c>
      <c r="E304" t="s">
        <v>209</v>
      </c>
      <c r="F304">
        <v>23</v>
      </c>
      <c r="G304" t="s">
        <v>193</v>
      </c>
      <c r="H304" t="b">
        <v>1</v>
      </c>
      <c r="I304">
        <v>1</v>
      </c>
      <c r="J304" t="s">
        <v>194</v>
      </c>
      <c r="K304" s="40" t="b">
        <v>0</v>
      </c>
      <c r="L304" t="s">
        <v>203</v>
      </c>
    </row>
    <row r="305" spans="1:12" x14ac:dyDescent="0.3">
      <c r="A305" t="s">
        <v>69</v>
      </c>
      <c r="B305" s="57" t="s">
        <v>70</v>
      </c>
      <c r="C305">
        <v>2025</v>
      </c>
      <c r="D305" t="s">
        <v>50</v>
      </c>
      <c r="E305" t="s">
        <v>209</v>
      </c>
      <c r="F305">
        <v>109</v>
      </c>
      <c r="G305" t="s">
        <v>193</v>
      </c>
      <c r="H305" t="b">
        <v>1</v>
      </c>
      <c r="I305">
        <v>1</v>
      </c>
      <c r="J305" t="s">
        <v>194</v>
      </c>
      <c r="K305" s="40" t="b">
        <v>0</v>
      </c>
      <c r="L305" t="s">
        <v>203</v>
      </c>
    </row>
    <row r="306" spans="1:12" x14ac:dyDescent="0.3">
      <c r="A306" t="s">
        <v>69</v>
      </c>
      <c r="B306" s="57" t="s">
        <v>70</v>
      </c>
      <c r="C306">
        <v>2025</v>
      </c>
      <c r="D306" t="s">
        <v>51</v>
      </c>
      <c r="E306" t="s">
        <v>209</v>
      </c>
      <c r="F306">
        <v>80</v>
      </c>
      <c r="G306" t="s">
        <v>193</v>
      </c>
      <c r="H306" t="b">
        <v>1</v>
      </c>
      <c r="I306">
        <v>1</v>
      </c>
      <c r="J306" t="s">
        <v>194</v>
      </c>
      <c r="K306" s="40" t="b">
        <v>0</v>
      </c>
      <c r="L306" t="s">
        <v>203</v>
      </c>
    </row>
    <row r="307" spans="1:12" x14ac:dyDescent="0.3">
      <c r="A307" t="s">
        <v>69</v>
      </c>
      <c r="B307" s="57" t="s">
        <v>70</v>
      </c>
      <c r="C307">
        <v>2025</v>
      </c>
      <c r="D307" t="s">
        <v>52</v>
      </c>
      <c r="E307" t="s">
        <v>209</v>
      </c>
      <c r="F307">
        <v>87</v>
      </c>
      <c r="G307" t="s">
        <v>193</v>
      </c>
      <c r="H307" t="b">
        <v>1</v>
      </c>
      <c r="I307">
        <v>1</v>
      </c>
      <c r="J307" t="s">
        <v>194</v>
      </c>
      <c r="K307" s="40" t="b">
        <v>0</v>
      </c>
      <c r="L307" t="s">
        <v>203</v>
      </c>
    </row>
    <row r="308" spans="1:12" x14ac:dyDescent="0.3">
      <c r="A308" t="s">
        <v>69</v>
      </c>
      <c r="B308" s="57" t="s">
        <v>70</v>
      </c>
      <c r="C308">
        <v>2025</v>
      </c>
      <c r="D308" t="s">
        <v>53</v>
      </c>
      <c r="E308" t="s">
        <v>209</v>
      </c>
      <c r="F308">
        <v>32</v>
      </c>
      <c r="G308" t="s">
        <v>193</v>
      </c>
      <c r="H308" t="b">
        <v>1</v>
      </c>
      <c r="I308">
        <v>1</v>
      </c>
      <c r="J308" t="s">
        <v>194</v>
      </c>
      <c r="K308" s="40" t="b">
        <v>0</v>
      </c>
      <c r="L308" t="s">
        <v>203</v>
      </c>
    </row>
    <row r="309" spans="1:12" x14ac:dyDescent="0.3">
      <c r="A309" t="s">
        <v>69</v>
      </c>
      <c r="B309" s="57" t="s">
        <v>70</v>
      </c>
      <c r="C309">
        <v>2025</v>
      </c>
      <c r="D309" t="s">
        <v>54</v>
      </c>
      <c r="E309" t="s">
        <v>209</v>
      </c>
      <c r="F309">
        <v>109</v>
      </c>
      <c r="G309" t="s">
        <v>193</v>
      </c>
      <c r="H309" t="b">
        <v>1</v>
      </c>
      <c r="I309">
        <v>1</v>
      </c>
      <c r="J309" t="s">
        <v>194</v>
      </c>
      <c r="K309" s="40" t="b">
        <v>0</v>
      </c>
      <c r="L309" t="s">
        <v>203</v>
      </c>
    </row>
    <row r="310" spans="1:12" x14ac:dyDescent="0.3">
      <c r="A310" t="s">
        <v>69</v>
      </c>
      <c r="B310" s="57" t="s">
        <v>70</v>
      </c>
      <c r="C310">
        <v>2025</v>
      </c>
      <c r="D310" t="s">
        <v>55</v>
      </c>
      <c r="E310" t="s">
        <v>209</v>
      </c>
      <c r="F310">
        <v>49</v>
      </c>
      <c r="G310" t="s">
        <v>193</v>
      </c>
      <c r="H310" t="b">
        <v>1</v>
      </c>
      <c r="I310">
        <v>1</v>
      </c>
      <c r="J310" t="s">
        <v>194</v>
      </c>
      <c r="K310" s="40" t="b">
        <v>0</v>
      </c>
      <c r="L310" t="s">
        <v>203</v>
      </c>
    </row>
    <row r="311" spans="1:12" x14ac:dyDescent="0.3">
      <c r="A311" t="s">
        <v>69</v>
      </c>
      <c r="B311" s="57" t="s">
        <v>70</v>
      </c>
      <c r="C311">
        <v>2025</v>
      </c>
      <c r="D311" t="s">
        <v>56</v>
      </c>
      <c r="E311" t="s">
        <v>209</v>
      </c>
      <c r="F311">
        <v>96</v>
      </c>
      <c r="G311" t="s">
        <v>193</v>
      </c>
      <c r="H311" t="b">
        <v>1</v>
      </c>
      <c r="I311">
        <v>1</v>
      </c>
      <c r="J311" t="s">
        <v>194</v>
      </c>
      <c r="K311" s="40" t="b">
        <v>0</v>
      </c>
      <c r="L311" t="s">
        <v>203</v>
      </c>
    </row>
    <row r="312" spans="1:12" x14ac:dyDescent="0.3">
      <c r="B312" s="57"/>
      <c r="K312" s="40"/>
    </row>
    <row r="313" spans="1:12" x14ac:dyDescent="0.3">
      <c r="A313" t="s">
        <v>69</v>
      </c>
      <c r="B313" s="57" t="s">
        <v>70</v>
      </c>
      <c r="C313">
        <v>2025</v>
      </c>
      <c r="D313" t="s">
        <v>2</v>
      </c>
      <c r="E313" t="s">
        <v>210</v>
      </c>
      <c r="F313">
        <v>86</v>
      </c>
      <c r="G313" t="s">
        <v>193</v>
      </c>
      <c r="H313" t="b">
        <v>1</v>
      </c>
      <c r="I313">
        <v>1</v>
      </c>
      <c r="J313" t="s">
        <v>194</v>
      </c>
      <c r="K313" s="40" t="b">
        <v>0</v>
      </c>
      <c r="L313" t="s">
        <v>203</v>
      </c>
    </row>
    <row r="314" spans="1:12" x14ac:dyDescent="0.3">
      <c r="A314" t="s">
        <v>69</v>
      </c>
      <c r="B314" s="57" t="s">
        <v>70</v>
      </c>
      <c r="C314">
        <v>2025</v>
      </c>
      <c r="D314" t="s">
        <v>46</v>
      </c>
      <c r="E314" t="s">
        <v>210</v>
      </c>
      <c r="F314">
        <v>34</v>
      </c>
      <c r="G314" t="s">
        <v>193</v>
      </c>
      <c r="H314" t="b">
        <v>1</v>
      </c>
      <c r="I314">
        <v>1</v>
      </c>
      <c r="J314" t="s">
        <v>194</v>
      </c>
      <c r="K314" s="40" t="b">
        <v>0</v>
      </c>
      <c r="L314" t="s">
        <v>203</v>
      </c>
    </row>
    <row r="315" spans="1:12" x14ac:dyDescent="0.3">
      <c r="A315" t="s">
        <v>69</v>
      </c>
      <c r="B315" s="57" t="s">
        <v>70</v>
      </c>
      <c r="C315">
        <v>2025</v>
      </c>
      <c r="D315" t="s">
        <v>47</v>
      </c>
      <c r="E315" t="s">
        <v>210</v>
      </c>
      <c r="F315">
        <v>75</v>
      </c>
      <c r="G315" t="s">
        <v>193</v>
      </c>
      <c r="H315" t="b">
        <v>1</v>
      </c>
      <c r="I315">
        <v>1</v>
      </c>
      <c r="J315" t="s">
        <v>194</v>
      </c>
      <c r="K315" s="40" t="b">
        <v>0</v>
      </c>
      <c r="L315" t="s">
        <v>203</v>
      </c>
    </row>
    <row r="316" spans="1:12" x14ac:dyDescent="0.3">
      <c r="A316" t="s">
        <v>69</v>
      </c>
      <c r="B316" s="57" t="s">
        <v>70</v>
      </c>
      <c r="C316">
        <v>2025</v>
      </c>
      <c r="D316" t="s">
        <v>48</v>
      </c>
      <c r="E316" t="s">
        <v>210</v>
      </c>
      <c r="F316">
        <v>53</v>
      </c>
      <c r="G316" t="s">
        <v>193</v>
      </c>
      <c r="H316" t="b">
        <v>1</v>
      </c>
      <c r="I316">
        <v>1</v>
      </c>
      <c r="J316" t="s">
        <v>194</v>
      </c>
      <c r="K316" s="40" t="b">
        <v>0</v>
      </c>
      <c r="L316" t="s">
        <v>203</v>
      </c>
    </row>
    <row r="317" spans="1:12" x14ac:dyDescent="0.3">
      <c r="A317" t="s">
        <v>69</v>
      </c>
      <c r="B317" s="57" t="s">
        <v>70</v>
      </c>
      <c r="C317">
        <v>2025</v>
      </c>
      <c r="D317" t="s">
        <v>49</v>
      </c>
      <c r="E317" t="s">
        <v>210</v>
      </c>
      <c r="F317">
        <v>44</v>
      </c>
      <c r="G317" t="s">
        <v>193</v>
      </c>
      <c r="H317" t="b">
        <v>1</v>
      </c>
      <c r="I317">
        <v>1</v>
      </c>
      <c r="J317" t="s">
        <v>194</v>
      </c>
      <c r="K317" s="40" t="b">
        <v>0</v>
      </c>
      <c r="L317" t="s">
        <v>203</v>
      </c>
    </row>
    <row r="318" spans="1:12" x14ac:dyDescent="0.3">
      <c r="A318" t="s">
        <v>69</v>
      </c>
      <c r="B318" s="57" t="s">
        <v>70</v>
      </c>
      <c r="C318">
        <v>2025</v>
      </c>
      <c r="D318" t="s">
        <v>50</v>
      </c>
      <c r="E318" t="s">
        <v>210</v>
      </c>
      <c r="F318">
        <v>94</v>
      </c>
      <c r="G318" t="s">
        <v>193</v>
      </c>
      <c r="H318" t="b">
        <v>1</v>
      </c>
      <c r="I318">
        <v>1</v>
      </c>
      <c r="J318" t="s">
        <v>194</v>
      </c>
      <c r="K318" s="40" t="b">
        <v>0</v>
      </c>
      <c r="L318" t="s">
        <v>203</v>
      </c>
    </row>
    <row r="319" spans="1:12" x14ac:dyDescent="0.3">
      <c r="A319" t="s">
        <v>69</v>
      </c>
      <c r="B319" s="57" t="s">
        <v>70</v>
      </c>
      <c r="C319">
        <v>2025</v>
      </c>
      <c r="D319" t="s">
        <v>51</v>
      </c>
      <c r="E319" t="s">
        <v>210</v>
      </c>
      <c r="F319">
        <v>89</v>
      </c>
      <c r="G319" t="s">
        <v>193</v>
      </c>
      <c r="H319" t="b">
        <v>1</v>
      </c>
      <c r="I319">
        <v>1</v>
      </c>
      <c r="J319" t="s">
        <v>194</v>
      </c>
      <c r="K319" s="40" t="b">
        <v>0</v>
      </c>
      <c r="L319" t="s">
        <v>203</v>
      </c>
    </row>
    <row r="320" spans="1:12" x14ac:dyDescent="0.3">
      <c r="A320" t="s">
        <v>69</v>
      </c>
      <c r="B320" s="57" t="s">
        <v>70</v>
      </c>
      <c r="C320">
        <v>2025</v>
      </c>
      <c r="D320" t="s">
        <v>52</v>
      </c>
      <c r="E320" t="s">
        <v>210</v>
      </c>
      <c r="F320">
        <v>47</v>
      </c>
      <c r="G320" t="s">
        <v>193</v>
      </c>
      <c r="H320" t="b">
        <v>1</v>
      </c>
      <c r="I320">
        <v>1</v>
      </c>
      <c r="J320" t="s">
        <v>194</v>
      </c>
      <c r="K320" s="40" t="b">
        <v>0</v>
      </c>
      <c r="L320" t="s">
        <v>203</v>
      </c>
    </row>
    <row r="321" spans="1:12" x14ac:dyDescent="0.3">
      <c r="A321" t="s">
        <v>69</v>
      </c>
      <c r="B321" s="57" t="s">
        <v>70</v>
      </c>
      <c r="C321">
        <v>2025</v>
      </c>
      <c r="D321" t="s">
        <v>53</v>
      </c>
      <c r="E321" t="s">
        <v>210</v>
      </c>
      <c r="F321">
        <v>57</v>
      </c>
      <c r="G321" t="s">
        <v>193</v>
      </c>
      <c r="H321" t="b">
        <v>1</v>
      </c>
      <c r="I321">
        <v>1</v>
      </c>
      <c r="J321" t="s">
        <v>194</v>
      </c>
      <c r="K321" s="40" t="b">
        <v>0</v>
      </c>
      <c r="L321" t="s">
        <v>203</v>
      </c>
    </row>
    <row r="322" spans="1:12" x14ac:dyDescent="0.3">
      <c r="A322" t="s">
        <v>69</v>
      </c>
      <c r="B322" s="57" t="s">
        <v>70</v>
      </c>
      <c r="C322">
        <v>2025</v>
      </c>
      <c r="D322" t="s">
        <v>54</v>
      </c>
      <c r="E322" t="s">
        <v>210</v>
      </c>
      <c r="F322">
        <v>71</v>
      </c>
      <c r="G322" t="s">
        <v>193</v>
      </c>
      <c r="H322" t="b">
        <v>1</v>
      </c>
      <c r="I322">
        <v>1</v>
      </c>
      <c r="J322" t="s">
        <v>194</v>
      </c>
      <c r="K322" s="40" t="b">
        <v>0</v>
      </c>
      <c r="L322" t="s">
        <v>203</v>
      </c>
    </row>
    <row r="323" spans="1:12" x14ac:dyDescent="0.3">
      <c r="A323" t="s">
        <v>69</v>
      </c>
      <c r="B323" s="57" t="s">
        <v>70</v>
      </c>
      <c r="C323">
        <v>2025</v>
      </c>
      <c r="D323" t="s">
        <v>55</v>
      </c>
      <c r="E323" t="s">
        <v>210</v>
      </c>
      <c r="F323">
        <v>85</v>
      </c>
      <c r="G323" t="s">
        <v>193</v>
      </c>
      <c r="H323" t="b">
        <v>1</v>
      </c>
      <c r="I323">
        <v>1</v>
      </c>
      <c r="J323" t="s">
        <v>194</v>
      </c>
      <c r="K323" s="40" t="b">
        <v>0</v>
      </c>
      <c r="L323" t="s">
        <v>203</v>
      </c>
    </row>
    <row r="324" spans="1:12" x14ac:dyDescent="0.3">
      <c r="A324" t="s">
        <v>69</v>
      </c>
      <c r="B324" s="57" t="s">
        <v>70</v>
      </c>
      <c r="C324">
        <v>2025</v>
      </c>
      <c r="D324" t="s">
        <v>56</v>
      </c>
      <c r="E324" t="s">
        <v>210</v>
      </c>
      <c r="F324">
        <v>35</v>
      </c>
      <c r="G324" t="s">
        <v>193</v>
      </c>
      <c r="H324" t="b">
        <v>1</v>
      </c>
      <c r="I324">
        <v>1</v>
      </c>
      <c r="J324" t="s">
        <v>194</v>
      </c>
      <c r="K324" s="40" t="b">
        <v>0</v>
      </c>
      <c r="L324" t="s">
        <v>203</v>
      </c>
    </row>
    <row r="325" spans="1:12" x14ac:dyDescent="0.3">
      <c r="B325" s="57"/>
      <c r="K325" s="40"/>
    </row>
    <row r="326" spans="1:12" x14ac:dyDescent="0.3">
      <c r="A326" t="s">
        <v>69</v>
      </c>
      <c r="B326" s="57" t="s">
        <v>70</v>
      </c>
      <c r="C326">
        <v>2025</v>
      </c>
      <c r="D326" t="s">
        <v>2</v>
      </c>
      <c r="E326" t="s">
        <v>211</v>
      </c>
      <c r="F326">
        <v>115</v>
      </c>
      <c r="G326" t="s">
        <v>193</v>
      </c>
      <c r="H326" t="b">
        <v>1</v>
      </c>
      <c r="I326">
        <v>1</v>
      </c>
      <c r="J326" t="s">
        <v>194</v>
      </c>
      <c r="K326" s="40" t="b">
        <v>0</v>
      </c>
      <c r="L326" t="s">
        <v>207</v>
      </c>
    </row>
    <row r="327" spans="1:12" x14ac:dyDescent="0.3">
      <c r="A327" t="s">
        <v>69</v>
      </c>
      <c r="B327" s="57" t="s">
        <v>70</v>
      </c>
      <c r="C327">
        <v>2025</v>
      </c>
      <c r="D327" t="s">
        <v>46</v>
      </c>
      <c r="E327" t="s">
        <v>211</v>
      </c>
      <c r="F327">
        <v>100</v>
      </c>
      <c r="G327" t="s">
        <v>193</v>
      </c>
      <c r="H327" t="b">
        <v>1</v>
      </c>
      <c r="I327">
        <v>1</v>
      </c>
      <c r="J327" t="s">
        <v>194</v>
      </c>
      <c r="K327" s="40" t="b">
        <v>0</v>
      </c>
      <c r="L327" t="s">
        <v>207</v>
      </c>
    </row>
    <row r="328" spans="1:12" x14ac:dyDescent="0.3">
      <c r="A328" t="s">
        <v>69</v>
      </c>
      <c r="B328" s="57" t="s">
        <v>70</v>
      </c>
      <c r="C328">
        <v>2025</v>
      </c>
      <c r="D328" t="s">
        <v>47</v>
      </c>
      <c r="E328" t="s">
        <v>211</v>
      </c>
      <c r="F328">
        <v>33</v>
      </c>
      <c r="G328" t="s">
        <v>193</v>
      </c>
      <c r="H328" t="b">
        <v>1</v>
      </c>
      <c r="I328">
        <v>1</v>
      </c>
      <c r="J328" t="s">
        <v>194</v>
      </c>
      <c r="K328" s="40" t="b">
        <v>0</v>
      </c>
      <c r="L328" t="s">
        <v>207</v>
      </c>
    </row>
    <row r="329" spans="1:12" x14ac:dyDescent="0.3">
      <c r="A329" t="s">
        <v>69</v>
      </c>
      <c r="B329" s="57" t="s">
        <v>70</v>
      </c>
      <c r="C329">
        <v>2025</v>
      </c>
      <c r="D329" t="s">
        <v>48</v>
      </c>
      <c r="E329" t="s">
        <v>211</v>
      </c>
      <c r="F329">
        <v>25</v>
      </c>
      <c r="G329" t="s">
        <v>193</v>
      </c>
      <c r="H329" t="b">
        <v>1</v>
      </c>
      <c r="I329">
        <v>1</v>
      </c>
      <c r="J329" t="s">
        <v>194</v>
      </c>
      <c r="K329" s="40" t="b">
        <v>0</v>
      </c>
      <c r="L329" t="s">
        <v>207</v>
      </c>
    </row>
    <row r="330" spans="1:12" x14ac:dyDescent="0.3">
      <c r="A330" t="s">
        <v>69</v>
      </c>
      <c r="B330" s="57" t="s">
        <v>70</v>
      </c>
      <c r="C330">
        <v>2025</v>
      </c>
      <c r="D330" t="s">
        <v>49</v>
      </c>
      <c r="E330" t="s">
        <v>211</v>
      </c>
      <c r="F330">
        <v>96</v>
      </c>
      <c r="G330" t="s">
        <v>193</v>
      </c>
      <c r="H330" t="b">
        <v>1</v>
      </c>
      <c r="I330">
        <v>1</v>
      </c>
      <c r="J330" t="s">
        <v>194</v>
      </c>
      <c r="K330" s="40" t="b">
        <v>0</v>
      </c>
      <c r="L330" t="s">
        <v>207</v>
      </c>
    </row>
    <row r="331" spans="1:12" x14ac:dyDescent="0.3">
      <c r="A331" t="s">
        <v>69</v>
      </c>
      <c r="B331" s="57" t="s">
        <v>70</v>
      </c>
      <c r="C331">
        <v>2025</v>
      </c>
      <c r="D331" t="s">
        <v>50</v>
      </c>
      <c r="E331" t="s">
        <v>211</v>
      </c>
      <c r="F331">
        <v>23</v>
      </c>
      <c r="G331" t="s">
        <v>193</v>
      </c>
      <c r="H331" t="b">
        <v>1</v>
      </c>
      <c r="I331">
        <v>1</v>
      </c>
      <c r="J331" t="s">
        <v>194</v>
      </c>
      <c r="K331" s="40" t="b">
        <v>0</v>
      </c>
      <c r="L331" t="s">
        <v>207</v>
      </c>
    </row>
    <row r="332" spans="1:12" x14ac:dyDescent="0.3">
      <c r="A332" t="s">
        <v>69</v>
      </c>
      <c r="B332" s="57" t="s">
        <v>70</v>
      </c>
      <c r="C332">
        <v>2025</v>
      </c>
      <c r="D332" t="s">
        <v>51</v>
      </c>
      <c r="E332" t="s">
        <v>211</v>
      </c>
      <c r="F332">
        <v>104</v>
      </c>
      <c r="G332" t="s">
        <v>193</v>
      </c>
      <c r="H332" t="b">
        <v>1</v>
      </c>
      <c r="I332">
        <v>1</v>
      </c>
      <c r="J332" t="s">
        <v>194</v>
      </c>
      <c r="K332" s="40" t="b">
        <v>0</v>
      </c>
      <c r="L332" t="s">
        <v>207</v>
      </c>
    </row>
    <row r="333" spans="1:12" x14ac:dyDescent="0.3">
      <c r="A333" t="s">
        <v>69</v>
      </c>
      <c r="B333" s="57" t="s">
        <v>70</v>
      </c>
      <c r="C333">
        <v>2025</v>
      </c>
      <c r="D333" t="s">
        <v>52</v>
      </c>
      <c r="E333" t="s">
        <v>211</v>
      </c>
      <c r="F333">
        <v>92</v>
      </c>
      <c r="G333" t="s">
        <v>193</v>
      </c>
      <c r="H333" t="b">
        <v>1</v>
      </c>
      <c r="I333">
        <v>1</v>
      </c>
      <c r="J333" t="s">
        <v>194</v>
      </c>
      <c r="K333" s="40" t="b">
        <v>0</v>
      </c>
      <c r="L333" t="s">
        <v>207</v>
      </c>
    </row>
    <row r="334" spans="1:12" x14ac:dyDescent="0.3">
      <c r="A334" t="s">
        <v>69</v>
      </c>
      <c r="B334" s="57" t="s">
        <v>70</v>
      </c>
      <c r="C334">
        <v>2025</v>
      </c>
      <c r="D334" t="s">
        <v>53</v>
      </c>
      <c r="E334" t="s">
        <v>211</v>
      </c>
      <c r="F334">
        <v>84</v>
      </c>
      <c r="G334" t="s">
        <v>193</v>
      </c>
      <c r="H334" t="b">
        <v>1</v>
      </c>
      <c r="I334">
        <v>1</v>
      </c>
      <c r="J334" t="s">
        <v>194</v>
      </c>
      <c r="K334" s="40" t="b">
        <v>0</v>
      </c>
      <c r="L334" t="s">
        <v>207</v>
      </c>
    </row>
    <row r="335" spans="1:12" x14ac:dyDescent="0.3">
      <c r="A335" t="s">
        <v>69</v>
      </c>
      <c r="B335" s="57" t="s">
        <v>70</v>
      </c>
      <c r="C335">
        <v>2025</v>
      </c>
      <c r="D335" t="s">
        <v>54</v>
      </c>
      <c r="E335" t="s">
        <v>211</v>
      </c>
      <c r="F335">
        <v>99</v>
      </c>
      <c r="G335" t="s">
        <v>193</v>
      </c>
      <c r="H335" t="b">
        <v>1</v>
      </c>
      <c r="I335">
        <v>1</v>
      </c>
      <c r="J335" t="s">
        <v>194</v>
      </c>
      <c r="K335" s="40" t="b">
        <v>0</v>
      </c>
      <c r="L335" t="s">
        <v>207</v>
      </c>
    </row>
    <row r="336" spans="1:12" x14ac:dyDescent="0.3">
      <c r="A336" t="s">
        <v>69</v>
      </c>
      <c r="B336" s="57" t="s">
        <v>70</v>
      </c>
      <c r="C336">
        <v>2025</v>
      </c>
      <c r="D336" t="s">
        <v>55</v>
      </c>
      <c r="E336" t="s">
        <v>211</v>
      </c>
      <c r="F336">
        <v>98</v>
      </c>
      <c r="G336" t="s">
        <v>193</v>
      </c>
      <c r="H336" t="b">
        <v>1</v>
      </c>
      <c r="I336">
        <v>1</v>
      </c>
      <c r="J336" t="s">
        <v>194</v>
      </c>
      <c r="K336" s="40" t="b">
        <v>0</v>
      </c>
      <c r="L336" t="s">
        <v>207</v>
      </c>
    </row>
    <row r="337" spans="1:12" x14ac:dyDescent="0.3">
      <c r="A337" t="s">
        <v>69</v>
      </c>
      <c r="B337" s="57" t="s">
        <v>70</v>
      </c>
      <c r="C337">
        <v>2025</v>
      </c>
      <c r="D337" t="s">
        <v>56</v>
      </c>
      <c r="E337" t="s">
        <v>211</v>
      </c>
      <c r="F337">
        <v>28</v>
      </c>
      <c r="G337" t="s">
        <v>193</v>
      </c>
      <c r="H337" t="b">
        <v>1</v>
      </c>
      <c r="I337">
        <v>1</v>
      </c>
      <c r="J337" t="s">
        <v>194</v>
      </c>
      <c r="K337" s="40" t="b">
        <v>0</v>
      </c>
      <c r="L337" t="s">
        <v>207</v>
      </c>
    </row>
    <row r="338" spans="1:12" x14ac:dyDescent="0.3">
      <c r="B338" s="57"/>
      <c r="K338" s="40"/>
    </row>
    <row r="339" spans="1:12" x14ac:dyDescent="0.3">
      <c r="A339" t="s">
        <v>69</v>
      </c>
      <c r="B339" s="57" t="s">
        <v>70</v>
      </c>
      <c r="C339">
        <v>2025</v>
      </c>
      <c r="D339" t="s">
        <v>2</v>
      </c>
      <c r="E339" t="s">
        <v>212</v>
      </c>
      <c r="F339">
        <v>77</v>
      </c>
      <c r="G339" t="s">
        <v>193</v>
      </c>
      <c r="H339" t="b">
        <v>1</v>
      </c>
      <c r="I339">
        <v>1</v>
      </c>
      <c r="J339" t="s">
        <v>194</v>
      </c>
      <c r="K339" s="40" t="b">
        <v>0</v>
      </c>
      <c r="L339" t="s">
        <v>213</v>
      </c>
    </row>
    <row r="340" spans="1:12" x14ac:dyDescent="0.3">
      <c r="A340" t="s">
        <v>69</v>
      </c>
      <c r="B340" s="57" t="s">
        <v>70</v>
      </c>
      <c r="C340">
        <v>2025</v>
      </c>
      <c r="D340" t="s">
        <v>46</v>
      </c>
      <c r="E340" t="s">
        <v>212</v>
      </c>
      <c r="F340">
        <v>29</v>
      </c>
      <c r="G340" t="s">
        <v>193</v>
      </c>
      <c r="H340" t="b">
        <v>1</v>
      </c>
      <c r="I340">
        <v>1</v>
      </c>
      <c r="J340" t="s">
        <v>194</v>
      </c>
      <c r="K340" s="40" t="b">
        <v>0</v>
      </c>
      <c r="L340" t="s">
        <v>213</v>
      </c>
    </row>
    <row r="341" spans="1:12" x14ac:dyDescent="0.3">
      <c r="A341" t="s">
        <v>69</v>
      </c>
      <c r="B341" s="57" t="s">
        <v>70</v>
      </c>
      <c r="C341">
        <v>2025</v>
      </c>
      <c r="D341" t="s">
        <v>47</v>
      </c>
      <c r="E341" t="s">
        <v>212</v>
      </c>
      <c r="F341">
        <v>60</v>
      </c>
      <c r="G341" t="s">
        <v>193</v>
      </c>
      <c r="H341" t="b">
        <v>1</v>
      </c>
      <c r="I341">
        <v>1</v>
      </c>
      <c r="J341" t="s">
        <v>194</v>
      </c>
      <c r="K341" s="40" t="b">
        <v>0</v>
      </c>
      <c r="L341" t="s">
        <v>213</v>
      </c>
    </row>
    <row r="342" spans="1:12" x14ac:dyDescent="0.3">
      <c r="A342" t="s">
        <v>69</v>
      </c>
      <c r="B342" s="57" t="s">
        <v>70</v>
      </c>
      <c r="C342">
        <v>2025</v>
      </c>
      <c r="D342" t="s">
        <v>48</v>
      </c>
      <c r="E342" t="s">
        <v>212</v>
      </c>
      <c r="F342">
        <v>82</v>
      </c>
      <c r="G342" t="s">
        <v>193</v>
      </c>
      <c r="H342" t="b">
        <v>1</v>
      </c>
      <c r="I342">
        <v>1</v>
      </c>
      <c r="J342" t="s">
        <v>194</v>
      </c>
      <c r="K342" s="40" t="b">
        <v>0</v>
      </c>
      <c r="L342" t="s">
        <v>213</v>
      </c>
    </row>
    <row r="343" spans="1:12" x14ac:dyDescent="0.3">
      <c r="A343" t="s">
        <v>69</v>
      </c>
      <c r="B343" s="57" t="s">
        <v>70</v>
      </c>
      <c r="C343">
        <v>2025</v>
      </c>
      <c r="D343" t="s">
        <v>49</v>
      </c>
      <c r="E343" t="s">
        <v>212</v>
      </c>
      <c r="F343">
        <v>64</v>
      </c>
      <c r="G343" t="s">
        <v>193</v>
      </c>
      <c r="H343" t="b">
        <v>1</v>
      </c>
      <c r="I343">
        <v>1</v>
      </c>
      <c r="J343" t="s">
        <v>194</v>
      </c>
      <c r="K343" s="40" t="b">
        <v>0</v>
      </c>
      <c r="L343" t="s">
        <v>213</v>
      </c>
    </row>
    <row r="344" spans="1:12" x14ac:dyDescent="0.3">
      <c r="A344" t="s">
        <v>69</v>
      </c>
      <c r="B344" s="57" t="s">
        <v>70</v>
      </c>
      <c r="C344">
        <v>2025</v>
      </c>
      <c r="D344" t="s">
        <v>50</v>
      </c>
      <c r="E344" t="s">
        <v>212</v>
      </c>
      <c r="F344">
        <v>120</v>
      </c>
      <c r="G344" t="s">
        <v>193</v>
      </c>
      <c r="H344" t="b">
        <v>1</v>
      </c>
      <c r="I344">
        <v>1</v>
      </c>
      <c r="J344" t="s">
        <v>194</v>
      </c>
      <c r="K344" s="40" t="b">
        <v>0</v>
      </c>
      <c r="L344" t="s">
        <v>205</v>
      </c>
    </row>
    <row r="345" spans="1:12" x14ac:dyDescent="0.3">
      <c r="A345" t="s">
        <v>69</v>
      </c>
      <c r="B345" s="57" t="s">
        <v>70</v>
      </c>
      <c r="C345">
        <v>2025</v>
      </c>
      <c r="D345" t="s">
        <v>51</v>
      </c>
      <c r="E345" t="s">
        <v>212</v>
      </c>
      <c r="F345">
        <v>114</v>
      </c>
      <c r="G345" t="s">
        <v>193</v>
      </c>
      <c r="H345" t="b">
        <v>1</v>
      </c>
      <c r="I345">
        <v>1</v>
      </c>
      <c r="J345" t="s">
        <v>194</v>
      </c>
      <c r="K345" s="40" t="b">
        <v>0</v>
      </c>
      <c r="L345" t="s">
        <v>213</v>
      </c>
    </row>
    <row r="346" spans="1:12" x14ac:dyDescent="0.3">
      <c r="A346" t="s">
        <v>69</v>
      </c>
      <c r="B346" s="57" t="s">
        <v>70</v>
      </c>
      <c r="C346">
        <v>2025</v>
      </c>
      <c r="D346" t="s">
        <v>52</v>
      </c>
      <c r="E346" t="s">
        <v>212</v>
      </c>
      <c r="F346">
        <v>50</v>
      </c>
      <c r="G346" t="s">
        <v>193</v>
      </c>
      <c r="H346" t="b">
        <v>1</v>
      </c>
      <c r="I346">
        <v>1</v>
      </c>
      <c r="J346" t="s">
        <v>194</v>
      </c>
      <c r="K346" s="40" t="b">
        <v>0</v>
      </c>
      <c r="L346" t="s">
        <v>213</v>
      </c>
    </row>
    <row r="347" spans="1:12" x14ac:dyDescent="0.3">
      <c r="A347" t="s">
        <v>69</v>
      </c>
      <c r="B347" s="57" t="s">
        <v>70</v>
      </c>
      <c r="C347">
        <v>2025</v>
      </c>
      <c r="D347" t="s">
        <v>53</v>
      </c>
      <c r="E347" t="s">
        <v>212</v>
      </c>
      <c r="F347">
        <v>84</v>
      </c>
      <c r="G347" t="s">
        <v>193</v>
      </c>
      <c r="H347" t="b">
        <v>1</v>
      </c>
      <c r="I347">
        <v>1</v>
      </c>
      <c r="J347" t="s">
        <v>194</v>
      </c>
      <c r="K347" s="40" t="b">
        <v>0</v>
      </c>
      <c r="L347" t="s">
        <v>213</v>
      </c>
    </row>
    <row r="348" spans="1:12" x14ac:dyDescent="0.3">
      <c r="A348" t="s">
        <v>69</v>
      </c>
      <c r="B348" s="57" t="s">
        <v>70</v>
      </c>
      <c r="C348">
        <v>2025</v>
      </c>
      <c r="D348" t="s">
        <v>54</v>
      </c>
      <c r="E348" t="s">
        <v>212</v>
      </c>
      <c r="F348">
        <v>54</v>
      </c>
      <c r="G348" t="s">
        <v>193</v>
      </c>
      <c r="H348" t="b">
        <v>1</v>
      </c>
      <c r="I348">
        <v>1</v>
      </c>
      <c r="J348" t="s">
        <v>194</v>
      </c>
      <c r="K348" s="40" t="b">
        <v>0</v>
      </c>
      <c r="L348" t="s">
        <v>213</v>
      </c>
    </row>
    <row r="349" spans="1:12" x14ac:dyDescent="0.3">
      <c r="A349" t="s">
        <v>69</v>
      </c>
      <c r="B349" s="57" t="s">
        <v>70</v>
      </c>
      <c r="C349">
        <v>2025</v>
      </c>
      <c r="D349" t="s">
        <v>55</v>
      </c>
      <c r="E349" t="s">
        <v>212</v>
      </c>
      <c r="F349">
        <v>92</v>
      </c>
      <c r="G349" t="s">
        <v>193</v>
      </c>
      <c r="H349" t="b">
        <v>1</v>
      </c>
      <c r="I349">
        <v>1</v>
      </c>
      <c r="J349" t="s">
        <v>194</v>
      </c>
      <c r="K349" s="40" t="b">
        <v>0</v>
      </c>
      <c r="L349" t="s">
        <v>213</v>
      </c>
    </row>
    <row r="350" spans="1:12" x14ac:dyDescent="0.3">
      <c r="A350" t="s">
        <v>69</v>
      </c>
      <c r="B350" s="57" t="s">
        <v>70</v>
      </c>
      <c r="C350">
        <v>2025</v>
      </c>
      <c r="D350" t="s">
        <v>56</v>
      </c>
      <c r="E350" t="s">
        <v>212</v>
      </c>
      <c r="F350">
        <v>35</v>
      </c>
      <c r="G350" t="s">
        <v>193</v>
      </c>
      <c r="H350" t="b">
        <v>1</v>
      </c>
      <c r="I350">
        <v>1</v>
      </c>
      <c r="J350" t="s">
        <v>194</v>
      </c>
      <c r="K350" s="40" t="b">
        <v>0</v>
      </c>
      <c r="L350" t="s">
        <v>213</v>
      </c>
    </row>
    <row r="351" spans="1:12" x14ac:dyDescent="0.3">
      <c r="B351" s="57"/>
      <c r="K351" s="40"/>
    </row>
    <row r="352" spans="1:12" x14ac:dyDescent="0.3">
      <c r="A352" t="s">
        <v>69</v>
      </c>
      <c r="B352" s="57" t="s">
        <v>70</v>
      </c>
      <c r="C352">
        <v>2025</v>
      </c>
      <c r="D352" t="s">
        <v>2</v>
      </c>
      <c r="E352" t="s">
        <v>214</v>
      </c>
      <c r="F352">
        <v>27</v>
      </c>
      <c r="G352" t="s">
        <v>193</v>
      </c>
      <c r="H352" t="b">
        <v>1</v>
      </c>
      <c r="I352">
        <v>1</v>
      </c>
      <c r="J352" t="s">
        <v>194</v>
      </c>
      <c r="K352" s="40" t="b">
        <v>0</v>
      </c>
      <c r="L352" t="s">
        <v>203</v>
      </c>
    </row>
    <row r="353" spans="1:12" x14ac:dyDescent="0.3">
      <c r="A353" t="s">
        <v>69</v>
      </c>
      <c r="B353" s="57" t="s">
        <v>70</v>
      </c>
      <c r="C353">
        <v>2025</v>
      </c>
      <c r="D353" t="s">
        <v>46</v>
      </c>
      <c r="E353" t="s">
        <v>214</v>
      </c>
      <c r="F353">
        <v>35</v>
      </c>
      <c r="G353" t="s">
        <v>193</v>
      </c>
      <c r="H353" t="b">
        <v>1</v>
      </c>
      <c r="I353">
        <v>1</v>
      </c>
      <c r="J353" t="s">
        <v>194</v>
      </c>
      <c r="K353" s="40" t="b">
        <v>0</v>
      </c>
      <c r="L353" t="s">
        <v>203</v>
      </c>
    </row>
    <row r="354" spans="1:12" x14ac:dyDescent="0.3">
      <c r="A354" t="s">
        <v>69</v>
      </c>
      <c r="B354" s="57" t="s">
        <v>70</v>
      </c>
      <c r="C354">
        <v>2025</v>
      </c>
      <c r="D354" t="s">
        <v>47</v>
      </c>
      <c r="E354" t="s">
        <v>214</v>
      </c>
      <c r="F354">
        <v>32</v>
      </c>
      <c r="G354" t="s">
        <v>193</v>
      </c>
      <c r="H354" t="b">
        <v>1</v>
      </c>
      <c r="I354">
        <v>1</v>
      </c>
      <c r="J354" t="s">
        <v>194</v>
      </c>
      <c r="K354" s="40" t="b">
        <v>0</v>
      </c>
      <c r="L354" t="s">
        <v>203</v>
      </c>
    </row>
    <row r="355" spans="1:12" x14ac:dyDescent="0.3">
      <c r="A355" t="s">
        <v>69</v>
      </c>
      <c r="B355" s="57" t="s">
        <v>70</v>
      </c>
      <c r="C355">
        <v>2025</v>
      </c>
      <c r="D355" t="s">
        <v>48</v>
      </c>
      <c r="E355" t="s">
        <v>214</v>
      </c>
      <c r="F355">
        <v>50</v>
      </c>
      <c r="G355" t="s">
        <v>193</v>
      </c>
      <c r="H355" t="b">
        <v>1</v>
      </c>
      <c r="I355">
        <v>1</v>
      </c>
      <c r="J355" t="s">
        <v>194</v>
      </c>
      <c r="K355" s="40" t="b">
        <v>0</v>
      </c>
      <c r="L355" t="s">
        <v>203</v>
      </c>
    </row>
    <row r="356" spans="1:12" x14ac:dyDescent="0.3">
      <c r="A356" t="s">
        <v>69</v>
      </c>
      <c r="B356" s="57" t="s">
        <v>70</v>
      </c>
      <c r="C356">
        <v>2025</v>
      </c>
      <c r="D356" t="s">
        <v>49</v>
      </c>
      <c r="E356" t="s">
        <v>214</v>
      </c>
      <c r="F356">
        <v>26</v>
      </c>
      <c r="G356" t="s">
        <v>193</v>
      </c>
      <c r="H356" t="b">
        <v>1</v>
      </c>
      <c r="I356">
        <v>1</v>
      </c>
      <c r="J356" t="s">
        <v>194</v>
      </c>
      <c r="K356" s="40" t="b">
        <v>0</v>
      </c>
      <c r="L356" t="s">
        <v>203</v>
      </c>
    </row>
    <row r="357" spans="1:12" x14ac:dyDescent="0.3">
      <c r="A357" t="s">
        <v>69</v>
      </c>
      <c r="B357" s="57" t="s">
        <v>70</v>
      </c>
      <c r="C357">
        <v>2025</v>
      </c>
      <c r="D357" t="s">
        <v>50</v>
      </c>
      <c r="E357" t="s">
        <v>214</v>
      </c>
      <c r="F357">
        <v>35</v>
      </c>
      <c r="G357" t="s">
        <v>193</v>
      </c>
      <c r="H357" t="b">
        <v>1</v>
      </c>
      <c r="I357">
        <v>1</v>
      </c>
      <c r="J357" t="s">
        <v>194</v>
      </c>
      <c r="K357" s="40" t="b">
        <v>0</v>
      </c>
      <c r="L357" t="s">
        <v>203</v>
      </c>
    </row>
    <row r="358" spans="1:12" x14ac:dyDescent="0.3">
      <c r="A358" t="s">
        <v>69</v>
      </c>
      <c r="B358" s="57" t="s">
        <v>70</v>
      </c>
      <c r="C358">
        <v>2025</v>
      </c>
      <c r="D358" t="s">
        <v>51</v>
      </c>
      <c r="E358" t="s">
        <v>214</v>
      </c>
      <c r="F358">
        <v>34</v>
      </c>
      <c r="G358" t="s">
        <v>193</v>
      </c>
      <c r="H358" t="b">
        <v>1</v>
      </c>
      <c r="I358">
        <v>1</v>
      </c>
      <c r="J358" t="s">
        <v>194</v>
      </c>
      <c r="K358" s="40" t="b">
        <v>0</v>
      </c>
      <c r="L358" t="s">
        <v>203</v>
      </c>
    </row>
    <row r="359" spans="1:12" x14ac:dyDescent="0.3">
      <c r="A359" t="s">
        <v>69</v>
      </c>
      <c r="B359" s="57" t="s">
        <v>70</v>
      </c>
      <c r="C359">
        <v>2025</v>
      </c>
      <c r="D359" t="s">
        <v>52</v>
      </c>
      <c r="E359" t="s">
        <v>214</v>
      </c>
      <c r="F359">
        <v>48</v>
      </c>
      <c r="G359" t="s">
        <v>193</v>
      </c>
      <c r="H359" t="b">
        <v>1</v>
      </c>
      <c r="I359">
        <v>1</v>
      </c>
      <c r="J359" t="s">
        <v>194</v>
      </c>
      <c r="K359" s="40" t="b">
        <v>0</v>
      </c>
      <c r="L359" t="s">
        <v>203</v>
      </c>
    </row>
    <row r="360" spans="1:12" x14ac:dyDescent="0.3">
      <c r="A360" t="s">
        <v>69</v>
      </c>
      <c r="B360" s="57" t="s">
        <v>70</v>
      </c>
      <c r="C360">
        <v>2025</v>
      </c>
      <c r="D360" t="s">
        <v>53</v>
      </c>
      <c r="E360" t="s">
        <v>214</v>
      </c>
      <c r="F360">
        <v>34</v>
      </c>
      <c r="G360" t="s">
        <v>193</v>
      </c>
      <c r="H360" t="b">
        <v>1</v>
      </c>
      <c r="I360">
        <v>1</v>
      </c>
      <c r="J360" t="s">
        <v>194</v>
      </c>
      <c r="K360" s="40" t="b">
        <v>0</v>
      </c>
      <c r="L360" t="s">
        <v>203</v>
      </c>
    </row>
    <row r="361" spans="1:12" x14ac:dyDescent="0.3">
      <c r="A361" t="s">
        <v>69</v>
      </c>
      <c r="B361" s="57" t="s">
        <v>70</v>
      </c>
      <c r="C361">
        <v>2025</v>
      </c>
      <c r="D361" t="s">
        <v>54</v>
      </c>
      <c r="E361" t="s">
        <v>214</v>
      </c>
      <c r="F361">
        <v>43</v>
      </c>
      <c r="G361" t="s">
        <v>193</v>
      </c>
      <c r="H361" t="b">
        <v>1</v>
      </c>
      <c r="I361">
        <v>1</v>
      </c>
      <c r="J361" t="s">
        <v>194</v>
      </c>
      <c r="K361" s="40" t="b">
        <v>0</v>
      </c>
      <c r="L361" t="s">
        <v>203</v>
      </c>
    </row>
    <row r="362" spans="1:12" x14ac:dyDescent="0.3">
      <c r="A362" t="s">
        <v>69</v>
      </c>
      <c r="B362" s="57" t="s">
        <v>70</v>
      </c>
      <c r="C362">
        <v>2025</v>
      </c>
      <c r="D362" t="s">
        <v>55</v>
      </c>
      <c r="E362" t="s">
        <v>214</v>
      </c>
      <c r="F362">
        <v>25</v>
      </c>
      <c r="G362" t="s">
        <v>193</v>
      </c>
      <c r="H362" t="b">
        <v>1</v>
      </c>
      <c r="I362">
        <v>1</v>
      </c>
      <c r="J362" t="s">
        <v>194</v>
      </c>
      <c r="K362" s="40" t="b">
        <v>0</v>
      </c>
      <c r="L362" t="s">
        <v>203</v>
      </c>
    </row>
    <row r="363" spans="1:12" x14ac:dyDescent="0.3">
      <c r="A363" t="s">
        <v>69</v>
      </c>
      <c r="B363" s="57" t="s">
        <v>70</v>
      </c>
      <c r="C363">
        <v>2025</v>
      </c>
      <c r="D363" t="s">
        <v>56</v>
      </c>
      <c r="E363" t="s">
        <v>214</v>
      </c>
      <c r="F363">
        <v>31</v>
      </c>
      <c r="G363" t="s">
        <v>193</v>
      </c>
      <c r="H363" t="b">
        <v>1</v>
      </c>
      <c r="I363">
        <v>1</v>
      </c>
      <c r="J363" t="s">
        <v>194</v>
      </c>
      <c r="K363" s="40" t="b">
        <v>0</v>
      </c>
      <c r="L363" t="s">
        <v>203</v>
      </c>
    </row>
    <row r="366" spans="1:12" x14ac:dyDescent="0.3">
      <c r="B366">
        <v>94</v>
      </c>
      <c r="E366">
        <v>60</v>
      </c>
      <c r="H366">
        <v>40</v>
      </c>
      <c r="K366">
        <v>94</v>
      </c>
    </row>
    <row r="367" spans="1:12" x14ac:dyDescent="0.3">
      <c r="B367">
        <v>88</v>
      </c>
      <c r="E367">
        <v>91</v>
      </c>
      <c r="H367">
        <v>85</v>
      </c>
      <c r="K367">
        <v>89</v>
      </c>
    </row>
    <row r="368" spans="1:12" x14ac:dyDescent="0.3">
      <c r="B368">
        <v>62</v>
      </c>
      <c r="E368">
        <v>34</v>
      </c>
      <c r="H368">
        <v>83</v>
      </c>
      <c r="K368">
        <v>103</v>
      </c>
    </row>
    <row r="369" spans="2:11" x14ac:dyDescent="0.3">
      <c r="B369">
        <v>116</v>
      </c>
      <c r="E369">
        <v>93</v>
      </c>
      <c r="H369">
        <v>78</v>
      </c>
      <c r="K369">
        <v>37</v>
      </c>
    </row>
    <row r="370" spans="2:11" x14ac:dyDescent="0.3">
      <c r="B370">
        <v>62</v>
      </c>
      <c r="E370">
        <v>45</v>
      </c>
      <c r="H370">
        <v>120</v>
      </c>
      <c r="K370">
        <v>65</v>
      </c>
    </row>
    <row r="371" spans="2:11" x14ac:dyDescent="0.3">
      <c r="B371">
        <v>43</v>
      </c>
      <c r="E371">
        <v>91</v>
      </c>
      <c r="H371">
        <v>24</v>
      </c>
      <c r="K371">
        <v>21</v>
      </c>
    </row>
    <row r="372" spans="2:11" x14ac:dyDescent="0.3">
      <c r="B372">
        <v>114</v>
      </c>
      <c r="E372">
        <v>29</v>
      </c>
      <c r="H372">
        <v>52</v>
      </c>
      <c r="K372">
        <v>45</v>
      </c>
    </row>
    <row r="373" spans="2:11" x14ac:dyDescent="0.3">
      <c r="B373">
        <v>72</v>
      </c>
      <c r="E373">
        <v>117</v>
      </c>
      <c r="H373">
        <v>58</v>
      </c>
      <c r="K373">
        <v>70</v>
      </c>
    </row>
    <row r="374" spans="2:11" x14ac:dyDescent="0.3">
      <c r="B374">
        <v>88</v>
      </c>
      <c r="E374">
        <v>38</v>
      </c>
      <c r="H374">
        <v>34</v>
      </c>
      <c r="K374">
        <v>56</v>
      </c>
    </row>
    <row r="375" spans="2:11" x14ac:dyDescent="0.3">
      <c r="B375">
        <v>103</v>
      </c>
      <c r="E375">
        <v>78</v>
      </c>
      <c r="H375">
        <v>89</v>
      </c>
      <c r="K375">
        <v>59</v>
      </c>
    </row>
    <row r="376" spans="2:11" x14ac:dyDescent="0.3">
      <c r="B376">
        <v>104</v>
      </c>
      <c r="E376">
        <v>69</v>
      </c>
      <c r="H376">
        <v>75</v>
      </c>
      <c r="K376">
        <v>54</v>
      </c>
    </row>
    <row r="377" spans="2:11" x14ac:dyDescent="0.3">
      <c r="B377">
        <v>111</v>
      </c>
      <c r="E377">
        <v>42</v>
      </c>
      <c r="H377">
        <v>74</v>
      </c>
      <c r="K377">
        <v>101</v>
      </c>
    </row>
    <row r="378" spans="2:11" x14ac:dyDescent="0.3">
      <c r="B378">
        <v>37</v>
      </c>
      <c r="E378">
        <v>46</v>
      </c>
      <c r="H378">
        <v>71</v>
      </c>
      <c r="K378">
        <v>79</v>
      </c>
    </row>
    <row r="379" spans="2:11" x14ac:dyDescent="0.3">
      <c r="B379">
        <v>68</v>
      </c>
      <c r="E379">
        <v>27</v>
      </c>
      <c r="H379">
        <v>103</v>
      </c>
      <c r="K379">
        <v>59</v>
      </c>
    </row>
    <row r="380" spans="2:11" x14ac:dyDescent="0.3">
      <c r="B380">
        <v>86</v>
      </c>
      <c r="E380">
        <v>119</v>
      </c>
      <c r="H380">
        <v>106</v>
      </c>
      <c r="K380">
        <v>87</v>
      </c>
    </row>
    <row r="381" spans="2:11" x14ac:dyDescent="0.3">
      <c r="B381">
        <v>33</v>
      </c>
      <c r="E381">
        <v>63</v>
      </c>
      <c r="H381">
        <v>111</v>
      </c>
      <c r="K381">
        <v>60</v>
      </c>
    </row>
    <row r="382" spans="2:11" x14ac:dyDescent="0.3">
      <c r="B382">
        <v>119</v>
      </c>
      <c r="E382">
        <v>118</v>
      </c>
      <c r="H382">
        <v>81</v>
      </c>
      <c r="K382">
        <v>102</v>
      </c>
    </row>
    <row r="383" spans="2:11" x14ac:dyDescent="0.3">
      <c r="B383">
        <v>111</v>
      </c>
      <c r="E383">
        <v>93</v>
      </c>
      <c r="H383">
        <v>86</v>
      </c>
      <c r="K383">
        <v>47</v>
      </c>
    </row>
    <row r="384" spans="2:11" x14ac:dyDescent="0.3">
      <c r="B384">
        <v>38</v>
      </c>
      <c r="E384">
        <v>82</v>
      </c>
      <c r="H384">
        <v>109</v>
      </c>
      <c r="K384">
        <v>82</v>
      </c>
    </row>
    <row r="385" spans="2:11" x14ac:dyDescent="0.3">
      <c r="B385">
        <v>108</v>
      </c>
      <c r="E385">
        <v>20</v>
      </c>
      <c r="H385">
        <v>100</v>
      </c>
      <c r="K385">
        <v>45</v>
      </c>
    </row>
    <row r="386" spans="2:11" x14ac:dyDescent="0.3">
      <c r="B386">
        <v>61</v>
      </c>
      <c r="E386">
        <v>54</v>
      </c>
      <c r="H386">
        <v>84</v>
      </c>
      <c r="K386">
        <v>42</v>
      </c>
    </row>
    <row r="387" spans="2:11" x14ac:dyDescent="0.3">
      <c r="B387">
        <v>35</v>
      </c>
      <c r="E387">
        <v>76</v>
      </c>
      <c r="H387">
        <v>70</v>
      </c>
      <c r="K387">
        <v>57</v>
      </c>
    </row>
    <row r="388" spans="2:11" x14ac:dyDescent="0.3">
      <c r="B388">
        <v>71</v>
      </c>
      <c r="E388">
        <v>96</v>
      </c>
      <c r="H388">
        <v>54</v>
      </c>
      <c r="K388">
        <v>62</v>
      </c>
    </row>
    <row r="389" spans="2:11" x14ac:dyDescent="0.3">
      <c r="B389">
        <v>102</v>
      </c>
      <c r="E389">
        <v>94</v>
      </c>
      <c r="H389">
        <v>31</v>
      </c>
      <c r="K389">
        <v>77</v>
      </c>
    </row>
    <row r="390" spans="2:11" x14ac:dyDescent="0.3">
      <c r="B390">
        <v>23</v>
      </c>
      <c r="E390">
        <v>99</v>
      </c>
      <c r="H390">
        <v>113</v>
      </c>
      <c r="K390">
        <v>29</v>
      </c>
    </row>
    <row r="391" spans="2:11" x14ac:dyDescent="0.3">
      <c r="B391">
        <v>83</v>
      </c>
      <c r="E391">
        <v>55</v>
      </c>
      <c r="H391">
        <v>89</v>
      </c>
      <c r="K391">
        <v>60</v>
      </c>
    </row>
    <row r="392" spans="2:11" x14ac:dyDescent="0.3">
      <c r="B392">
        <v>118</v>
      </c>
      <c r="E392">
        <v>82</v>
      </c>
      <c r="H392">
        <v>71</v>
      </c>
      <c r="K392">
        <v>82</v>
      </c>
    </row>
    <row r="393" spans="2:11" x14ac:dyDescent="0.3">
      <c r="B393">
        <v>39</v>
      </c>
      <c r="E393">
        <v>118</v>
      </c>
      <c r="H393">
        <v>73</v>
      </c>
      <c r="K393">
        <v>64</v>
      </c>
    </row>
    <row r="394" spans="2:11" x14ac:dyDescent="0.3">
      <c r="B394">
        <v>69</v>
      </c>
      <c r="E394">
        <v>34</v>
      </c>
      <c r="H394">
        <v>86</v>
      </c>
      <c r="K394">
        <v>114</v>
      </c>
    </row>
    <row r="395" spans="2:11" x14ac:dyDescent="0.3">
      <c r="B395">
        <v>83</v>
      </c>
      <c r="E395">
        <v>36</v>
      </c>
      <c r="H395">
        <v>51</v>
      </c>
      <c r="K395">
        <v>50</v>
      </c>
    </row>
    <row r="396" spans="2:11" x14ac:dyDescent="0.3">
      <c r="B396">
        <v>59</v>
      </c>
      <c r="E396">
        <v>53</v>
      </c>
      <c r="H396">
        <v>102</v>
      </c>
      <c r="K396">
        <v>84</v>
      </c>
    </row>
    <row r="397" spans="2:11" x14ac:dyDescent="0.3">
      <c r="B397">
        <v>83</v>
      </c>
      <c r="E397">
        <v>82</v>
      </c>
      <c r="H397">
        <v>106</v>
      </c>
      <c r="K397">
        <v>54</v>
      </c>
    </row>
    <row r="398" spans="2:11" x14ac:dyDescent="0.3">
      <c r="B398">
        <v>99</v>
      </c>
      <c r="E398">
        <v>25</v>
      </c>
      <c r="H398">
        <v>43</v>
      </c>
      <c r="K398">
        <v>92</v>
      </c>
    </row>
    <row r="399" spans="2:11" x14ac:dyDescent="0.3">
      <c r="B399">
        <v>77</v>
      </c>
      <c r="E399">
        <v>90</v>
      </c>
      <c r="H399">
        <v>24</v>
      </c>
      <c r="K399">
        <v>35</v>
      </c>
    </row>
    <row r="400" spans="2:11" x14ac:dyDescent="0.3">
      <c r="B400">
        <v>70</v>
      </c>
      <c r="E400">
        <v>79</v>
      </c>
      <c r="H400">
        <v>52</v>
      </c>
    </row>
    <row r="401" spans="2:8" x14ac:dyDescent="0.3">
      <c r="B401">
        <v>35</v>
      </c>
      <c r="E401">
        <v>28</v>
      </c>
      <c r="H401">
        <v>79</v>
      </c>
    </row>
    <row r="402" spans="2:8" x14ac:dyDescent="0.3">
      <c r="B402">
        <v>53</v>
      </c>
      <c r="E402">
        <v>107</v>
      </c>
      <c r="H402">
        <v>120</v>
      </c>
    </row>
    <row r="403" spans="2:8" x14ac:dyDescent="0.3">
      <c r="B403">
        <v>84</v>
      </c>
      <c r="E403">
        <v>57</v>
      </c>
    </row>
    <row r="404" spans="2:8" x14ac:dyDescent="0.3">
      <c r="B404">
        <v>78</v>
      </c>
      <c r="E404">
        <v>30</v>
      </c>
    </row>
    <row r="405" spans="2:8" x14ac:dyDescent="0.3">
      <c r="B405">
        <v>66</v>
      </c>
      <c r="E405">
        <v>86</v>
      </c>
    </row>
    <row r="406" spans="2:8" x14ac:dyDescent="0.3">
      <c r="B406">
        <v>117</v>
      </c>
      <c r="E406">
        <v>26</v>
      </c>
    </row>
    <row r="407" spans="2:8" x14ac:dyDescent="0.3">
      <c r="B407">
        <v>77</v>
      </c>
      <c r="E407">
        <v>119</v>
      </c>
    </row>
    <row r="408" spans="2:8" x14ac:dyDescent="0.3">
      <c r="B408">
        <v>61</v>
      </c>
      <c r="E408">
        <v>52</v>
      </c>
    </row>
    <row r="409" spans="2:8" x14ac:dyDescent="0.3">
      <c r="B409">
        <v>40</v>
      </c>
      <c r="E409">
        <v>66</v>
      </c>
    </row>
    <row r="410" spans="2:8" x14ac:dyDescent="0.3">
      <c r="B410">
        <v>69</v>
      </c>
      <c r="E410">
        <v>70</v>
      </c>
    </row>
    <row r="411" spans="2:8" x14ac:dyDescent="0.3">
      <c r="B411">
        <v>109</v>
      </c>
      <c r="E411">
        <v>40</v>
      </c>
    </row>
    <row r="412" spans="2:8" x14ac:dyDescent="0.3">
      <c r="B412">
        <v>117</v>
      </c>
      <c r="E412">
        <v>108</v>
      </c>
    </row>
    <row r="413" spans="2:8" x14ac:dyDescent="0.3">
      <c r="B413">
        <v>77</v>
      </c>
      <c r="E413">
        <v>98</v>
      </c>
    </row>
    <row r="414" spans="2:8" x14ac:dyDescent="0.3">
      <c r="B414">
        <v>30</v>
      </c>
      <c r="E414">
        <v>20</v>
      </c>
    </row>
    <row r="415" spans="2:8" x14ac:dyDescent="0.3">
      <c r="B415">
        <v>40</v>
      </c>
      <c r="E415">
        <v>73</v>
      </c>
    </row>
    <row r="416" spans="2:8" x14ac:dyDescent="0.3">
      <c r="B416">
        <v>41</v>
      </c>
      <c r="E416">
        <v>42</v>
      </c>
    </row>
    <row r="417" spans="2:5" x14ac:dyDescent="0.3">
      <c r="B417">
        <v>28</v>
      </c>
      <c r="E417">
        <v>102</v>
      </c>
    </row>
    <row r="418" spans="2:5" x14ac:dyDescent="0.3">
      <c r="B418">
        <v>45</v>
      </c>
      <c r="E418">
        <v>80</v>
      </c>
    </row>
    <row r="419" spans="2:5" x14ac:dyDescent="0.3">
      <c r="B419">
        <v>22</v>
      </c>
      <c r="E419">
        <v>76</v>
      </c>
    </row>
    <row r="420" spans="2:5" x14ac:dyDescent="0.3">
      <c r="B420">
        <v>27</v>
      </c>
      <c r="E420">
        <v>111</v>
      </c>
    </row>
    <row r="421" spans="2:5" x14ac:dyDescent="0.3">
      <c r="B421">
        <v>47</v>
      </c>
      <c r="E421">
        <v>64</v>
      </c>
    </row>
    <row r="422" spans="2:5" x14ac:dyDescent="0.3">
      <c r="B422">
        <v>33</v>
      </c>
      <c r="E422">
        <v>24</v>
      </c>
    </row>
    <row r="423" spans="2:5" x14ac:dyDescent="0.3">
      <c r="B423">
        <v>49</v>
      </c>
      <c r="E423">
        <v>86</v>
      </c>
    </row>
    <row r="424" spans="2:5" x14ac:dyDescent="0.3">
      <c r="B424">
        <v>21</v>
      </c>
      <c r="E424">
        <v>111</v>
      </c>
    </row>
    <row r="425" spans="2:5" x14ac:dyDescent="0.3">
      <c r="B425">
        <v>37</v>
      </c>
      <c r="E425">
        <v>57</v>
      </c>
    </row>
    <row r="426" spans="2:5" x14ac:dyDescent="0.3">
      <c r="B426">
        <v>102</v>
      </c>
      <c r="E426">
        <v>115</v>
      </c>
    </row>
    <row r="427" spans="2:5" x14ac:dyDescent="0.3">
      <c r="B427">
        <v>58</v>
      </c>
      <c r="E427">
        <v>100</v>
      </c>
    </row>
    <row r="428" spans="2:5" x14ac:dyDescent="0.3">
      <c r="B428">
        <v>55</v>
      </c>
      <c r="E428">
        <v>33</v>
      </c>
    </row>
    <row r="429" spans="2:5" x14ac:dyDescent="0.3">
      <c r="B429">
        <v>62</v>
      </c>
      <c r="E429">
        <v>25</v>
      </c>
    </row>
    <row r="430" spans="2:5" x14ac:dyDescent="0.3">
      <c r="B430">
        <v>65</v>
      </c>
      <c r="E430">
        <v>96</v>
      </c>
    </row>
    <row r="431" spans="2:5" x14ac:dyDescent="0.3">
      <c r="B431">
        <v>26</v>
      </c>
      <c r="E431">
        <v>23</v>
      </c>
    </row>
    <row r="432" spans="2:5" x14ac:dyDescent="0.3">
      <c r="B432">
        <v>23</v>
      </c>
      <c r="E432">
        <v>104</v>
      </c>
    </row>
    <row r="433" spans="2:5" x14ac:dyDescent="0.3">
      <c r="B433">
        <v>20</v>
      </c>
      <c r="E433">
        <v>92</v>
      </c>
    </row>
    <row r="434" spans="2:5" x14ac:dyDescent="0.3">
      <c r="B434">
        <v>50</v>
      </c>
      <c r="E434">
        <v>84</v>
      </c>
    </row>
    <row r="435" spans="2:5" x14ac:dyDescent="0.3">
      <c r="B435">
        <v>112</v>
      </c>
      <c r="E435">
        <v>99</v>
      </c>
    </row>
    <row r="436" spans="2:5" x14ac:dyDescent="0.3">
      <c r="B436">
        <v>34</v>
      </c>
      <c r="E436">
        <v>98</v>
      </c>
    </row>
    <row r="437" spans="2:5" x14ac:dyDescent="0.3">
      <c r="B437">
        <v>77</v>
      </c>
      <c r="E437">
        <v>28</v>
      </c>
    </row>
    <row r="438" spans="2:5" x14ac:dyDescent="0.3">
      <c r="B438">
        <v>81</v>
      </c>
    </row>
    <row r="439" spans="2:5" x14ac:dyDescent="0.3">
      <c r="B439">
        <v>117</v>
      </c>
    </row>
    <row r="440" spans="2:5" x14ac:dyDescent="0.3">
      <c r="B440">
        <v>107</v>
      </c>
    </row>
    <row r="441" spans="2:5" x14ac:dyDescent="0.3">
      <c r="B441">
        <v>113</v>
      </c>
    </row>
    <row r="442" spans="2:5" x14ac:dyDescent="0.3">
      <c r="B442">
        <v>91</v>
      </c>
    </row>
    <row r="443" spans="2:5" x14ac:dyDescent="0.3">
      <c r="B443">
        <v>86</v>
      </c>
    </row>
    <row r="444" spans="2:5" x14ac:dyDescent="0.3">
      <c r="B444">
        <v>53</v>
      </c>
    </row>
    <row r="445" spans="2:5" x14ac:dyDescent="0.3">
      <c r="B445">
        <v>72</v>
      </c>
    </row>
    <row r="446" spans="2:5" x14ac:dyDescent="0.3">
      <c r="B446">
        <v>51</v>
      </c>
    </row>
    <row r="447" spans="2:5" x14ac:dyDescent="0.3">
      <c r="B447">
        <v>116</v>
      </c>
    </row>
    <row r="448" spans="2:5" x14ac:dyDescent="0.3">
      <c r="B448">
        <v>43</v>
      </c>
    </row>
    <row r="449" spans="2:2" x14ac:dyDescent="0.3">
      <c r="B449">
        <v>105</v>
      </c>
    </row>
    <row r="450" spans="2:2" x14ac:dyDescent="0.3">
      <c r="B450">
        <v>45</v>
      </c>
    </row>
    <row r="451" spans="2:2" x14ac:dyDescent="0.3">
      <c r="B451">
        <v>86</v>
      </c>
    </row>
    <row r="452" spans="2:2" x14ac:dyDescent="0.3">
      <c r="B452">
        <v>42</v>
      </c>
    </row>
    <row r="453" spans="2:2" x14ac:dyDescent="0.3">
      <c r="B453">
        <v>35</v>
      </c>
    </row>
    <row r="454" spans="2:2" x14ac:dyDescent="0.3">
      <c r="B454">
        <v>78</v>
      </c>
    </row>
    <row r="455" spans="2:2" x14ac:dyDescent="0.3">
      <c r="B455">
        <v>62</v>
      </c>
    </row>
    <row r="456" spans="2:2" x14ac:dyDescent="0.3">
      <c r="B456">
        <v>27</v>
      </c>
    </row>
    <row r="457" spans="2:2" x14ac:dyDescent="0.3">
      <c r="B457">
        <v>24</v>
      </c>
    </row>
    <row r="458" spans="2:2" x14ac:dyDescent="0.3">
      <c r="B458">
        <v>115</v>
      </c>
    </row>
    <row r="459" spans="2:2" x14ac:dyDescent="0.3">
      <c r="B459">
        <v>69</v>
      </c>
    </row>
    <row r="460" spans="2:2" x14ac:dyDescent="0.3">
      <c r="B460">
        <v>113</v>
      </c>
    </row>
    <row r="461" spans="2:2" x14ac:dyDescent="0.3">
      <c r="B461">
        <v>120</v>
      </c>
    </row>
    <row r="462" spans="2:2" x14ac:dyDescent="0.3">
      <c r="B462">
        <v>20</v>
      </c>
    </row>
    <row r="463" spans="2:2" x14ac:dyDescent="0.3">
      <c r="B463">
        <v>20</v>
      </c>
    </row>
    <row r="464" spans="2:2" x14ac:dyDescent="0.3">
      <c r="B464">
        <v>112</v>
      </c>
    </row>
    <row r="465" spans="2:2" x14ac:dyDescent="0.3">
      <c r="B465">
        <v>88</v>
      </c>
    </row>
    <row r="466" spans="2:2" x14ac:dyDescent="0.3">
      <c r="B466">
        <v>53</v>
      </c>
    </row>
    <row r="467" spans="2:2" x14ac:dyDescent="0.3">
      <c r="B467">
        <v>103</v>
      </c>
    </row>
    <row r="468" spans="2:2" x14ac:dyDescent="0.3">
      <c r="B468">
        <v>79</v>
      </c>
    </row>
    <row r="469" spans="2:2" x14ac:dyDescent="0.3">
      <c r="B469">
        <v>32</v>
      </c>
    </row>
    <row r="470" spans="2:2" x14ac:dyDescent="0.3">
      <c r="B470">
        <v>28</v>
      </c>
    </row>
    <row r="471" spans="2:2" x14ac:dyDescent="0.3">
      <c r="B471">
        <v>89</v>
      </c>
    </row>
    <row r="472" spans="2:2" x14ac:dyDescent="0.3">
      <c r="B472">
        <v>33</v>
      </c>
    </row>
    <row r="473" spans="2:2" x14ac:dyDescent="0.3">
      <c r="B473">
        <v>119</v>
      </c>
    </row>
    <row r="474" spans="2:2" x14ac:dyDescent="0.3">
      <c r="B474">
        <v>70</v>
      </c>
    </row>
    <row r="475" spans="2:2" x14ac:dyDescent="0.3">
      <c r="B475">
        <v>44</v>
      </c>
    </row>
    <row r="476" spans="2:2" x14ac:dyDescent="0.3">
      <c r="B476">
        <v>41</v>
      </c>
    </row>
    <row r="477" spans="2:2" x14ac:dyDescent="0.3">
      <c r="B477">
        <v>33</v>
      </c>
    </row>
    <row r="478" spans="2:2" x14ac:dyDescent="0.3">
      <c r="B478">
        <v>27</v>
      </c>
    </row>
    <row r="479" spans="2:2" x14ac:dyDescent="0.3">
      <c r="B479">
        <v>20</v>
      </c>
    </row>
    <row r="480" spans="2:2" x14ac:dyDescent="0.3">
      <c r="B480">
        <v>39</v>
      </c>
    </row>
    <row r="481" spans="2:2" x14ac:dyDescent="0.3">
      <c r="B481">
        <v>28</v>
      </c>
    </row>
    <row r="482" spans="2:2" x14ac:dyDescent="0.3">
      <c r="B482">
        <v>30</v>
      </c>
    </row>
    <row r="483" spans="2:2" x14ac:dyDescent="0.3">
      <c r="B483">
        <v>46</v>
      </c>
    </row>
    <row r="484" spans="2:2" x14ac:dyDescent="0.3">
      <c r="B484">
        <v>45</v>
      </c>
    </row>
    <row r="485" spans="2:2" x14ac:dyDescent="0.3">
      <c r="B485">
        <v>29</v>
      </c>
    </row>
    <row r="486" spans="2:2" x14ac:dyDescent="0.3">
      <c r="B486">
        <v>28</v>
      </c>
    </row>
    <row r="487" spans="2:2" x14ac:dyDescent="0.3">
      <c r="B487">
        <v>88</v>
      </c>
    </row>
    <row r="488" spans="2:2" x14ac:dyDescent="0.3">
      <c r="B488">
        <v>45</v>
      </c>
    </row>
    <row r="489" spans="2:2" x14ac:dyDescent="0.3">
      <c r="B489">
        <v>45</v>
      </c>
    </row>
    <row r="490" spans="2:2" x14ac:dyDescent="0.3">
      <c r="B490">
        <v>59</v>
      </c>
    </row>
    <row r="491" spans="2:2" x14ac:dyDescent="0.3">
      <c r="B491">
        <v>63</v>
      </c>
    </row>
    <row r="492" spans="2:2" x14ac:dyDescent="0.3">
      <c r="B492">
        <v>103</v>
      </c>
    </row>
    <row r="493" spans="2:2" x14ac:dyDescent="0.3">
      <c r="B493">
        <v>118</v>
      </c>
    </row>
    <row r="494" spans="2:2" x14ac:dyDescent="0.3">
      <c r="B494">
        <v>104</v>
      </c>
    </row>
    <row r="495" spans="2:2" x14ac:dyDescent="0.3">
      <c r="B495">
        <v>85</v>
      </c>
    </row>
    <row r="496" spans="2:2" x14ac:dyDescent="0.3">
      <c r="B496">
        <v>87</v>
      </c>
    </row>
    <row r="497" spans="2:2" x14ac:dyDescent="0.3">
      <c r="B497">
        <v>36</v>
      </c>
    </row>
    <row r="498" spans="2:2" x14ac:dyDescent="0.3">
      <c r="B498">
        <v>75</v>
      </c>
    </row>
    <row r="499" spans="2:2" x14ac:dyDescent="0.3">
      <c r="B499">
        <v>70</v>
      </c>
    </row>
    <row r="500" spans="2:2" x14ac:dyDescent="0.3">
      <c r="B500">
        <v>114</v>
      </c>
    </row>
    <row r="501" spans="2:2" x14ac:dyDescent="0.3">
      <c r="B501">
        <v>106</v>
      </c>
    </row>
    <row r="502" spans="2:2" x14ac:dyDescent="0.3">
      <c r="B502">
        <v>94</v>
      </c>
    </row>
    <row r="503" spans="2:2" x14ac:dyDescent="0.3">
      <c r="B503">
        <v>97</v>
      </c>
    </row>
    <row r="504" spans="2:2" x14ac:dyDescent="0.3">
      <c r="B504">
        <v>24</v>
      </c>
    </row>
    <row r="505" spans="2:2" x14ac:dyDescent="0.3">
      <c r="B505">
        <v>51</v>
      </c>
    </row>
    <row r="506" spans="2:2" x14ac:dyDescent="0.3">
      <c r="B506">
        <v>80</v>
      </c>
    </row>
    <row r="507" spans="2:2" x14ac:dyDescent="0.3">
      <c r="B507">
        <v>58</v>
      </c>
    </row>
    <row r="508" spans="2:2" x14ac:dyDescent="0.3">
      <c r="B508">
        <v>80</v>
      </c>
    </row>
    <row r="509" spans="2:2" x14ac:dyDescent="0.3">
      <c r="B509">
        <v>20</v>
      </c>
    </row>
    <row r="510" spans="2:2" x14ac:dyDescent="0.3">
      <c r="B510">
        <v>85</v>
      </c>
    </row>
    <row r="511" spans="2:2" x14ac:dyDescent="0.3">
      <c r="B511">
        <v>93</v>
      </c>
    </row>
    <row r="512" spans="2:2" x14ac:dyDescent="0.3">
      <c r="B512">
        <v>50</v>
      </c>
    </row>
    <row r="513" spans="2:2" x14ac:dyDescent="0.3">
      <c r="B513">
        <v>96</v>
      </c>
    </row>
    <row r="514" spans="2:2" x14ac:dyDescent="0.3">
      <c r="B514">
        <v>85</v>
      </c>
    </row>
    <row r="515" spans="2:2" x14ac:dyDescent="0.3">
      <c r="B515">
        <v>23</v>
      </c>
    </row>
    <row r="516" spans="2:2" x14ac:dyDescent="0.3">
      <c r="B516">
        <v>109</v>
      </c>
    </row>
    <row r="517" spans="2:2" x14ac:dyDescent="0.3">
      <c r="B517">
        <v>80</v>
      </c>
    </row>
    <row r="518" spans="2:2" x14ac:dyDescent="0.3">
      <c r="B518">
        <v>87</v>
      </c>
    </row>
    <row r="519" spans="2:2" x14ac:dyDescent="0.3">
      <c r="B519">
        <v>32</v>
      </c>
    </row>
    <row r="520" spans="2:2" x14ac:dyDescent="0.3">
      <c r="B520">
        <v>109</v>
      </c>
    </row>
    <row r="521" spans="2:2" x14ac:dyDescent="0.3">
      <c r="B521">
        <v>49</v>
      </c>
    </row>
    <row r="522" spans="2:2" x14ac:dyDescent="0.3">
      <c r="B522">
        <v>96</v>
      </c>
    </row>
    <row r="523" spans="2:2" x14ac:dyDescent="0.3">
      <c r="B523">
        <v>86</v>
      </c>
    </row>
    <row r="524" spans="2:2" x14ac:dyDescent="0.3">
      <c r="B524">
        <v>34</v>
      </c>
    </row>
    <row r="525" spans="2:2" x14ac:dyDescent="0.3">
      <c r="B525">
        <v>75</v>
      </c>
    </row>
    <row r="526" spans="2:2" x14ac:dyDescent="0.3">
      <c r="B526">
        <v>53</v>
      </c>
    </row>
    <row r="527" spans="2:2" x14ac:dyDescent="0.3">
      <c r="B527">
        <v>44</v>
      </c>
    </row>
    <row r="528" spans="2:2" x14ac:dyDescent="0.3">
      <c r="B528">
        <v>94</v>
      </c>
    </row>
    <row r="529" spans="2:2" x14ac:dyDescent="0.3">
      <c r="B529">
        <v>89</v>
      </c>
    </row>
    <row r="530" spans="2:2" x14ac:dyDescent="0.3">
      <c r="B530">
        <v>47</v>
      </c>
    </row>
    <row r="531" spans="2:2" x14ac:dyDescent="0.3">
      <c r="B531">
        <v>57</v>
      </c>
    </row>
    <row r="532" spans="2:2" x14ac:dyDescent="0.3">
      <c r="B532">
        <v>71</v>
      </c>
    </row>
    <row r="533" spans="2:2" x14ac:dyDescent="0.3">
      <c r="B533">
        <v>85</v>
      </c>
    </row>
    <row r="534" spans="2:2" x14ac:dyDescent="0.3">
      <c r="B534">
        <v>35</v>
      </c>
    </row>
    <row r="535" spans="2:2" x14ac:dyDescent="0.3">
      <c r="B535">
        <v>27</v>
      </c>
    </row>
    <row r="536" spans="2:2" x14ac:dyDescent="0.3">
      <c r="B536">
        <v>35</v>
      </c>
    </row>
    <row r="537" spans="2:2" x14ac:dyDescent="0.3">
      <c r="B537">
        <v>32</v>
      </c>
    </row>
    <row r="538" spans="2:2" x14ac:dyDescent="0.3">
      <c r="B538">
        <v>50</v>
      </c>
    </row>
    <row r="539" spans="2:2" x14ac:dyDescent="0.3">
      <c r="B539">
        <v>26</v>
      </c>
    </row>
    <row r="540" spans="2:2" x14ac:dyDescent="0.3">
      <c r="B540">
        <v>35</v>
      </c>
    </row>
    <row r="541" spans="2:2" x14ac:dyDescent="0.3">
      <c r="B541">
        <v>34</v>
      </c>
    </row>
    <row r="542" spans="2:2" x14ac:dyDescent="0.3">
      <c r="B542">
        <v>48</v>
      </c>
    </row>
    <row r="543" spans="2:2" x14ac:dyDescent="0.3">
      <c r="B543">
        <v>34</v>
      </c>
    </row>
    <row r="544" spans="2:2" x14ac:dyDescent="0.3">
      <c r="B544">
        <v>43</v>
      </c>
    </row>
    <row r="545" spans="2:2" x14ac:dyDescent="0.3">
      <c r="B545">
        <v>25</v>
      </c>
    </row>
    <row r="546" spans="2:2" x14ac:dyDescent="0.3">
      <c r="B546">
        <v>31</v>
      </c>
    </row>
  </sheetData>
  <mergeCells count="7">
    <mergeCell ref="J7:K7"/>
    <mergeCell ref="I2:K2"/>
    <mergeCell ref="I3:K3"/>
    <mergeCell ref="L3:M3"/>
    <mergeCell ref="J4:K4"/>
    <mergeCell ref="J5:K5"/>
    <mergeCell ref="J6: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4D6A-FB2E-44D0-AC4E-77D3D1E66F06}">
  <dimension ref="B2:T18"/>
  <sheetViews>
    <sheetView workbookViewId="0">
      <selection activeCell="P21" sqref="P21"/>
    </sheetView>
  </sheetViews>
  <sheetFormatPr defaultRowHeight="14.4" x14ac:dyDescent="0.3"/>
  <sheetData>
    <row r="2" spans="2:20" x14ac:dyDescent="0.3">
      <c r="C2" s="84" t="s">
        <v>229</v>
      </c>
      <c r="D2" s="84"/>
      <c r="E2" s="84"/>
    </row>
    <row r="5" spans="2:20" x14ac:dyDescent="0.3">
      <c r="B5" s="82" t="s">
        <v>224</v>
      </c>
      <c r="C5" s="82"/>
      <c r="D5" s="60"/>
      <c r="E5" s="69">
        <v>7237</v>
      </c>
      <c r="F5" s="69" t="s">
        <v>219</v>
      </c>
      <c r="I5" s="83" t="s">
        <v>226</v>
      </c>
      <c r="J5" s="83"/>
      <c r="K5" s="62"/>
      <c r="L5" s="71">
        <v>12213</v>
      </c>
      <c r="M5" s="71" t="s">
        <v>219</v>
      </c>
    </row>
    <row r="6" spans="2:20" x14ac:dyDescent="0.3">
      <c r="B6" s="85"/>
      <c r="C6" s="86"/>
      <c r="D6" s="60"/>
      <c r="E6" s="69"/>
      <c r="F6" s="69"/>
      <c r="I6" s="87"/>
      <c r="J6" s="88"/>
      <c r="K6" s="62"/>
      <c r="L6" s="71"/>
      <c r="M6" s="71"/>
    </row>
    <row r="7" spans="2:20" x14ac:dyDescent="0.3">
      <c r="B7" s="82" t="s">
        <v>225</v>
      </c>
      <c r="C7" s="82"/>
      <c r="D7" s="60"/>
      <c r="E7" s="69">
        <v>21951</v>
      </c>
      <c r="F7" s="69" t="s">
        <v>219</v>
      </c>
      <c r="I7" s="83" t="s">
        <v>227</v>
      </c>
      <c r="J7" s="83"/>
      <c r="K7" s="62"/>
      <c r="L7" s="71">
        <v>2164</v>
      </c>
      <c r="M7" s="71" t="s">
        <v>219</v>
      </c>
    </row>
    <row r="8" spans="2:20" x14ac:dyDescent="0.3">
      <c r="B8" s="85"/>
      <c r="C8" s="89"/>
      <c r="D8" s="89"/>
      <c r="E8" s="89"/>
      <c r="F8" s="86"/>
      <c r="I8" s="87"/>
      <c r="J8" s="88"/>
      <c r="K8" s="62"/>
      <c r="L8" s="71"/>
      <c r="M8" s="71"/>
    </row>
    <row r="9" spans="2:20" ht="18" x14ac:dyDescent="0.35">
      <c r="B9" s="80" t="s">
        <v>230</v>
      </c>
      <c r="C9" s="81"/>
      <c r="D9" s="60"/>
      <c r="E9" s="72">
        <f>SUM(E5:E7)</f>
        <v>29188</v>
      </c>
      <c r="F9" s="72" t="s">
        <v>219</v>
      </c>
      <c r="I9" s="83" t="s">
        <v>228</v>
      </c>
      <c r="J9" s="83"/>
      <c r="K9" s="62"/>
      <c r="L9" s="71">
        <v>4669</v>
      </c>
      <c r="M9" s="71" t="s">
        <v>219</v>
      </c>
    </row>
    <row r="10" spans="2:20" x14ac:dyDescent="0.3">
      <c r="E10" s="70"/>
      <c r="F10" s="70"/>
      <c r="I10" s="87"/>
      <c r="J10" s="88"/>
      <c r="K10" s="62"/>
      <c r="L10" s="71"/>
      <c r="M10" s="71"/>
    </row>
    <row r="11" spans="2:20" x14ac:dyDescent="0.3">
      <c r="E11" s="70"/>
      <c r="F11" s="70"/>
      <c r="I11" s="83" t="s">
        <v>207</v>
      </c>
      <c r="J11" s="83"/>
      <c r="K11" s="62"/>
      <c r="L11" s="71">
        <v>5058</v>
      </c>
      <c r="M11" s="71" t="s">
        <v>219</v>
      </c>
    </row>
    <row r="12" spans="2:20" ht="15.6" x14ac:dyDescent="0.3">
      <c r="I12" s="87"/>
      <c r="J12" s="88"/>
      <c r="K12" s="62"/>
      <c r="L12" s="71"/>
      <c r="M12" s="71"/>
      <c r="P12" s="92" t="s">
        <v>232</v>
      </c>
      <c r="Q12" s="92"/>
      <c r="R12" s="62"/>
      <c r="S12" s="74">
        <f>((L18/E9)*100)</f>
        <v>76.589694394956837</v>
      </c>
      <c r="T12" s="74" t="s">
        <v>233</v>
      </c>
    </row>
    <row r="13" spans="2:20" x14ac:dyDescent="0.3">
      <c r="I13" s="83" t="s">
        <v>205</v>
      </c>
      <c r="J13" s="83"/>
      <c r="K13" s="62"/>
      <c r="L13" s="71">
        <v>2827</v>
      </c>
      <c r="M13" s="71" t="s">
        <v>219</v>
      </c>
    </row>
    <row r="14" spans="2:20" x14ac:dyDescent="0.3">
      <c r="I14" s="87"/>
      <c r="J14" s="88"/>
      <c r="K14" s="62"/>
      <c r="L14" s="71"/>
      <c r="M14" s="71"/>
    </row>
    <row r="15" spans="2:20" x14ac:dyDescent="0.3">
      <c r="I15" s="83" t="s">
        <v>213</v>
      </c>
      <c r="J15" s="83"/>
      <c r="K15" s="62"/>
      <c r="L15" s="71">
        <v>2257</v>
      </c>
      <c r="M15" s="71" t="s">
        <v>219</v>
      </c>
    </row>
    <row r="16" spans="2:20" x14ac:dyDescent="0.3">
      <c r="M16" s="68"/>
    </row>
    <row r="18" spans="9:13" ht="15.6" x14ac:dyDescent="0.3">
      <c r="I18" s="90" t="s">
        <v>231</v>
      </c>
      <c r="J18" s="91"/>
      <c r="K18" s="62"/>
      <c r="L18" s="73">
        <f>SUM(L5+L11+L13+L15)</f>
        <v>22355</v>
      </c>
      <c r="M18" s="73" t="s">
        <v>219</v>
      </c>
    </row>
  </sheetData>
  <mergeCells count="19">
    <mergeCell ref="I14:J14"/>
    <mergeCell ref="I10:J10"/>
    <mergeCell ref="I12:J12"/>
    <mergeCell ref="I18:J18"/>
    <mergeCell ref="P12:Q12"/>
    <mergeCell ref="I11:J11"/>
    <mergeCell ref="I15:J15"/>
    <mergeCell ref="I13:J13"/>
    <mergeCell ref="C2:E2"/>
    <mergeCell ref="B6:C6"/>
    <mergeCell ref="I6:J6"/>
    <mergeCell ref="I8:J8"/>
    <mergeCell ref="B8:F8"/>
    <mergeCell ref="B9:C9"/>
    <mergeCell ref="B5:C5"/>
    <mergeCell ref="B7:C7"/>
    <mergeCell ref="I5:J5"/>
    <mergeCell ref="I7:J7"/>
    <mergeCell ref="I9:J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AAF0-B3E8-4E4C-A922-279665953252}">
  <dimension ref="A1:U492"/>
  <sheetViews>
    <sheetView tabSelected="1" topLeftCell="A481" workbookViewId="0">
      <selection activeCell="S500" sqref="S500"/>
    </sheetView>
  </sheetViews>
  <sheetFormatPr defaultRowHeight="14.4" x14ac:dyDescent="0.3"/>
  <sheetData>
    <row r="1" spans="1:21" x14ac:dyDescent="0.3">
      <c r="A1" t="s">
        <v>0</v>
      </c>
      <c r="B1" s="25" t="s">
        <v>1</v>
      </c>
      <c r="C1">
        <v>2025</v>
      </c>
      <c r="D1" t="s">
        <v>48</v>
      </c>
      <c r="E1" t="s">
        <v>192</v>
      </c>
      <c r="F1">
        <v>23</v>
      </c>
      <c r="G1" t="s">
        <v>193</v>
      </c>
      <c r="H1" t="b">
        <v>1</v>
      </c>
      <c r="I1">
        <v>1</v>
      </c>
      <c r="J1" t="s">
        <v>194</v>
      </c>
      <c r="K1" s="39" t="b">
        <v>1</v>
      </c>
      <c r="L1" t="s">
        <v>195</v>
      </c>
      <c r="P1">
        <v>4</v>
      </c>
      <c r="Q1" t="s">
        <v>2</v>
      </c>
      <c r="R1">
        <v>1</v>
      </c>
    </row>
    <row r="2" spans="1:21" x14ac:dyDescent="0.3">
      <c r="A2" t="s">
        <v>0</v>
      </c>
      <c r="B2" s="25" t="s">
        <v>1</v>
      </c>
      <c r="C2">
        <v>2025</v>
      </c>
      <c r="D2" t="s">
        <v>52</v>
      </c>
      <c r="E2" t="s">
        <v>192</v>
      </c>
      <c r="F2">
        <v>47</v>
      </c>
      <c r="G2" t="s">
        <v>193</v>
      </c>
      <c r="H2" t="b">
        <v>1</v>
      </c>
      <c r="I2">
        <v>1</v>
      </c>
      <c r="J2" t="s">
        <v>194</v>
      </c>
      <c r="K2" s="39" t="b">
        <v>1</v>
      </c>
      <c r="L2" t="s">
        <v>195</v>
      </c>
      <c r="P2">
        <v>8</v>
      </c>
      <c r="Q2" t="s">
        <v>46</v>
      </c>
      <c r="R2">
        <v>2</v>
      </c>
      <c r="S2" t="s">
        <v>234</v>
      </c>
      <c r="U2">
        <f>SUM(F1:F3,F40:F42,F97:F99,F141:F492)/SUM(F1:F492)</f>
        <v>0.76589694394956831</v>
      </c>
    </row>
    <row r="3" spans="1:21" x14ac:dyDescent="0.3">
      <c r="A3" t="s">
        <v>0</v>
      </c>
      <c r="B3" s="25" t="s">
        <v>1</v>
      </c>
      <c r="C3">
        <v>2025</v>
      </c>
      <c r="D3" t="s">
        <v>56</v>
      </c>
      <c r="E3" t="s">
        <v>192</v>
      </c>
      <c r="F3">
        <v>25</v>
      </c>
      <c r="G3" t="s">
        <v>193</v>
      </c>
      <c r="H3" t="b">
        <v>1</v>
      </c>
      <c r="I3">
        <v>1</v>
      </c>
      <c r="J3" t="s">
        <v>194</v>
      </c>
      <c r="K3" s="39" t="b">
        <v>1</v>
      </c>
      <c r="L3" t="s">
        <v>195</v>
      </c>
      <c r="P3">
        <v>12</v>
      </c>
      <c r="Q3" t="s">
        <v>47</v>
      </c>
      <c r="R3">
        <v>3</v>
      </c>
    </row>
    <row r="4" spans="1:21" x14ac:dyDescent="0.3">
      <c r="A4" t="s">
        <v>0</v>
      </c>
      <c r="B4" s="25" t="s">
        <v>1</v>
      </c>
      <c r="C4">
        <v>2025</v>
      </c>
      <c r="D4" t="s">
        <v>2</v>
      </c>
      <c r="E4" t="s">
        <v>196</v>
      </c>
      <c r="F4">
        <v>60</v>
      </c>
      <c r="G4" t="s">
        <v>193</v>
      </c>
      <c r="H4" t="b">
        <v>1</v>
      </c>
      <c r="I4">
        <v>1</v>
      </c>
      <c r="J4" t="s">
        <v>194</v>
      </c>
      <c r="K4" s="39" t="b">
        <v>1</v>
      </c>
      <c r="L4" t="s">
        <v>197</v>
      </c>
      <c r="P4">
        <v>1</v>
      </c>
      <c r="Q4" t="s">
        <v>48</v>
      </c>
      <c r="R4">
        <v>4</v>
      </c>
    </row>
    <row r="5" spans="1:21" x14ac:dyDescent="0.3">
      <c r="A5" t="s">
        <v>0</v>
      </c>
      <c r="B5" s="25" t="s">
        <v>1</v>
      </c>
      <c r="C5">
        <v>2025</v>
      </c>
      <c r="D5" t="s">
        <v>46</v>
      </c>
      <c r="E5" t="s">
        <v>196</v>
      </c>
      <c r="F5">
        <v>52</v>
      </c>
      <c r="G5" t="s">
        <v>193</v>
      </c>
      <c r="H5" t="b">
        <v>1</v>
      </c>
      <c r="I5">
        <v>1</v>
      </c>
      <c r="J5" t="s">
        <v>194</v>
      </c>
      <c r="K5" s="39" t="b">
        <v>1</v>
      </c>
      <c r="L5" t="s">
        <v>197</v>
      </c>
      <c r="P5">
        <v>2</v>
      </c>
      <c r="Q5" t="s">
        <v>49</v>
      </c>
      <c r="R5">
        <v>5</v>
      </c>
    </row>
    <row r="6" spans="1:21" x14ac:dyDescent="0.3">
      <c r="A6" t="s">
        <v>0</v>
      </c>
      <c r="B6" s="25" t="s">
        <v>1</v>
      </c>
      <c r="C6">
        <v>2025</v>
      </c>
      <c r="D6" t="s">
        <v>47</v>
      </c>
      <c r="E6" t="s">
        <v>196</v>
      </c>
      <c r="F6">
        <v>58</v>
      </c>
      <c r="G6" t="s">
        <v>193</v>
      </c>
      <c r="H6" t="b">
        <v>1</v>
      </c>
      <c r="I6">
        <v>1</v>
      </c>
      <c r="J6" t="s">
        <v>194</v>
      </c>
      <c r="K6" s="39" t="b">
        <v>1</v>
      </c>
      <c r="L6" t="s">
        <v>197</v>
      </c>
      <c r="P6">
        <v>3</v>
      </c>
      <c r="Q6" t="s">
        <v>50</v>
      </c>
      <c r="R6">
        <v>6</v>
      </c>
    </row>
    <row r="7" spans="1:21" x14ac:dyDescent="0.3">
      <c r="A7" t="s">
        <v>0</v>
      </c>
      <c r="B7" s="25" t="s">
        <v>1</v>
      </c>
      <c r="C7">
        <v>2025</v>
      </c>
      <c r="D7" t="s">
        <v>48</v>
      </c>
      <c r="E7" t="s">
        <v>196</v>
      </c>
      <c r="F7">
        <v>91</v>
      </c>
      <c r="G7" t="s">
        <v>193</v>
      </c>
      <c r="H7" t="b">
        <v>1</v>
      </c>
      <c r="I7">
        <v>1</v>
      </c>
      <c r="J7" t="s">
        <v>194</v>
      </c>
      <c r="K7" s="39" t="b">
        <v>1</v>
      </c>
      <c r="L7" t="s">
        <v>197</v>
      </c>
      <c r="P7">
        <v>4</v>
      </c>
      <c r="Q7" t="s">
        <v>51</v>
      </c>
      <c r="R7">
        <v>7</v>
      </c>
    </row>
    <row r="8" spans="1:21" x14ac:dyDescent="0.3">
      <c r="A8" t="s">
        <v>0</v>
      </c>
      <c r="B8" s="25" t="s">
        <v>1</v>
      </c>
      <c r="C8">
        <v>2025</v>
      </c>
      <c r="D8" t="s">
        <v>49</v>
      </c>
      <c r="E8" t="s">
        <v>196</v>
      </c>
      <c r="F8">
        <v>47</v>
      </c>
      <c r="G8" t="s">
        <v>193</v>
      </c>
      <c r="H8" t="b">
        <v>1</v>
      </c>
      <c r="I8">
        <v>1</v>
      </c>
      <c r="J8" t="s">
        <v>194</v>
      </c>
      <c r="K8" s="39" t="b">
        <v>1</v>
      </c>
      <c r="L8" t="s">
        <v>197</v>
      </c>
      <c r="P8">
        <v>5</v>
      </c>
      <c r="Q8" t="s">
        <v>52</v>
      </c>
      <c r="R8">
        <v>8</v>
      </c>
    </row>
    <row r="9" spans="1:21" x14ac:dyDescent="0.3">
      <c r="A9" t="s">
        <v>0</v>
      </c>
      <c r="B9" s="25" t="s">
        <v>1</v>
      </c>
      <c r="C9">
        <v>2025</v>
      </c>
      <c r="D9" t="s">
        <v>50</v>
      </c>
      <c r="E9" t="s">
        <v>196</v>
      </c>
      <c r="F9">
        <v>86</v>
      </c>
      <c r="G9" t="s">
        <v>193</v>
      </c>
      <c r="H9" t="b">
        <v>1</v>
      </c>
      <c r="I9">
        <v>1</v>
      </c>
      <c r="J9" t="s">
        <v>194</v>
      </c>
      <c r="K9" s="39" t="b">
        <v>1</v>
      </c>
      <c r="L9" t="s">
        <v>197</v>
      </c>
      <c r="P9">
        <v>6</v>
      </c>
      <c r="Q9" t="s">
        <v>53</v>
      </c>
      <c r="R9">
        <v>9</v>
      </c>
    </row>
    <row r="10" spans="1:21" x14ac:dyDescent="0.3">
      <c r="A10" t="s">
        <v>0</v>
      </c>
      <c r="B10" s="25" t="s">
        <v>1</v>
      </c>
      <c r="C10">
        <v>2025</v>
      </c>
      <c r="D10" t="s">
        <v>51</v>
      </c>
      <c r="E10" t="s">
        <v>196</v>
      </c>
      <c r="F10">
        <v>48</v>
      </c>
      <c r="G10" t="s">
        <v>193</v>
      </c>
      <c r="H10" t="b">
        <v>1</v>
      </c>
      <c r="I10">
        <v>1</v>
      </c>
      <c r="J10" t="s">
        <v>194</v>
      </c>
      <c r="K10" s="39" t="b">
        <v>1</v>
      </c>
      <c r="L10" t="s">
        <v>197</v>
      </c>
      <c r="P10">
        <v>7</v>
      </c>
      <c r="Q10" t="s">
        <v>54</v>
      </c>
      <c r="R10">
        <v>10</v>
      </c>
    </row>
    <row r="11" spans="1:21" x14ac:dyDescent="0.3">
      <c r="A11" t="s">
        <v>0</v>
      </c>
      <c r="B11" s="25" t="s">
        <v>1</v>
      </c>
      <c r="C11">
        <v>2025</v>
      </c>
      <c r="D11" t="s">
        <v>52</v>
      </c>
      <c r="E11" t="s">
        <v>196</v>
      </c>
      <c r="F11">
        <v>11</v>
      </c>
      <c r="G11" t="s">
        <v>193</v>
      </c>
      <c r="H11" t="b">
        <v>1</v>
      </c>
      <c r="I11">
        <v>1</v>
      </c>
      <c r="J11" t="s">
        <v>194</v>
      </c>
      <c r="K11" s="39" t="b">
        <v>1</v>
      </c>
      <c r="L11" t="s">
        <v>197</v>
      </c>
      <c r="P11">
        <v>8</v>
      </c>
      <c r="Q11" t="s">
        <v>55</v>
      </c>
      <c r="R11">
        <v>11</v>
      </c>
    </row>
    <row r="12" spans="1:21" x14ac:dyDescent="0.3">
      <c r="A12" t="s">
        <v>0</v>
      </c>
      <c r="B12" s="25" t="s">
        <v>1</v>
      </c>
      <c r="C12">
        <v>2025</v>
      </c>
      <c r="D12" t="s">
        <v>53</v>
      </c>
      <c r="E12" t="s">
        <v>196</v>
      </c>
      <c r="F12">
        <v>47</v>
      </c>
      <c r="G12" t="s">
        <v>193</v>
      </c>
      <c r="H12" t="b">
        <v>1</v>
      </c>
      <c r="I12">
        <v>1</v>
      </c>
      <c r="J12" t="s">
        <v>194</v>
      </c>
      <c r="K12" s="39" t="b">
        <v>1</v>
      </c>
      <c r="L12" t="s">
        <v>197</v>
      </c>
      <c r="P12">
        <v>9</v>
      </c>
      <c r="Q12" t="s">
        <v>56</v>
      </c>
      <c r="R12">
        <v>12</v>
      </c>
    </row>
    <row r="13" spans="1:21" x14ac:dyDescent="0.3">
      <c r="A13" t="s">
        <v>0</v>
      </c>
      <c r="B13" s="25" t="s">
        <v>1</v>
      </c>
      <c r="C13">
        <v>2025</v>
      </c>
      <c r="D13" t="s">
        <v>54</v>
      </c>
      <c r="E13" t="s">
        <v>196</v>
      </c>
      <c r="F13">
        <v>39</v>
      </c>
      <c r="G13" t="s">
        <v>193</v>
      </c>
      <c r="H13" t="b">
        <v>1</v>
      </c>
      <c r="I13">
        <v>1</v>
      </c>
      <c r="J13" t="s">
        <v>194</v>
      </c>
      <c r="K13" s="39" t="b">
        <v>1</v>
      </c>
      <c r="L13" t="s">
        <v>197</v>
      </c>
      <c r="P13">
        <v>10</v>
      </c>
    </row>
    <row r="14" spans="1:21" x14ac:dyDescent="0.3">
      <c r="A14" t="s">
        <v>0</v>
      </c>
      <c r="B14" s="25" t="s">
        <v>1</v>
      </c>
      <c r="C14">
        <v>2025</v>
      </c>
      <c r="D14" t="s">
        <v>55</v>
      </c>
      <c r="E14" t="s">
        <v>196</v>
      </c>
      <c r="F14">
        <v>57</v>
      </c>
      <c r="G14" t="s">
        <v>193</v>
      </c>
      <c r="H14" t="b">
        <v>1</v>
      </c>
      <c r="I14">
        <v>1</v>
      </c>
      <c r="J14" t="s">
        <v>194</v>
      </c>
      <c r="K14" s="39" t="b">
        <v>1</v>
      </c>
      <c r="L14" t="s">
        <v>197</v>
      </c>
      <c r="P14">
        <v>11</v>
      </c>
    </row>
    <row r="15" spans="1:21" x14ac:dyDescent="0.3">
      <c r="A15" t="s">
        <v>0</v>
      </c>
      <c r="B15" s="25" t="s">
        <v>1</v>
      </c>
      <c r="C15">
        <v>2025</v>
      </c>
      <c r="D15" t="s">
        <v>56</v>
      </c>
      <c r="E15" t="s">
        <v>196</v>
      </c>
      <c r="F15">
        <v>36</v>
      </c>
      <c r="G15" t="s">
        <v>193</v>
      </c>
      <c r="H15" t="b">
        <v>1</v>
      </c>
      <c r="I15">
        <v>1</v>
      </c>
      <c r="J15" t="s">
        <v>194</v>
      </c>
      <c r="K15" s="39" t="b">
        <v>1</v>
      </c>
      <c r="L15" t="s">
        <v>197</v>
      </c>
      <c r="P15">
        <v>12</v>
      </c>
    </row>
    <row r="16" spans="1:21" x14ac:dyDescent="0.3">
      <c r="A16" t="s">
        <v>0</v>
      </c>
      <c r="B16" s="25" t="s">
        <v>1</v>
      </c>
      <c r="C16">
        <v>2025</v>
      </c>
      <c r="D16" t="s">
        <v>2</v>
      </c>
      <c r="E16" t="s">
        <v>198</v>
      </c>
      <c r="F16">
        <v>58</v>
      </c>
      <c r="G16" t="s">
        <v>193</v>
      </c>
      <c r="H16" t="b">
        <v>1</v>
      </c>
      <c r="I16">
        <v>1</v>
      </c>
      <c r="J16" t="s">
        <v>194</v>
      </c>
      <c r="K16" s="39" t="b">
        <v>1</v>
      </c>
      <c r="L16" t="s">
        <v>199</v>
      </c>
      <c r="P16">
        <v>1</v>
      </c>
    </row>
    <row r="17" spans="1:16" x14ac:dyDescent="0.3">
      <c r="A17" t="s">
        <v>0</v>
      </c>
      <c r="B17" s="25" t="s">
        <v>1</v>
      </c>
      <c r="C17">
        <v>2025</v>
      </c>
      <c r="D17" t="s">
        <v>46</v>
      </c>
      <c r="E17" t="s">
        <v>198</v>
      </c>
      <c r="F17">
        <v>59</v>
      </c>
      <c r="G17" t="s">
        <v>193</v>
      </c>
      <c r="H17" t="b">
        <v>1</v>
      </c>
      <c r="I17">
        <v>1</v>
      </c>
      <c r="J17" t="s">
        <v>194</v>
      </c>
      <c r="K17" s="39" t="b">
        <v>1</v>
      </c>
      <c r="L17" t="s">
        <v>199</v>
      </c>
      <c r="P17">
        <v>2</v>
      </c>
    </row>
    <row r="18" spans="1:16" x14ac:dyDescent="0.3">
      <c r="A18" t="s">
        <v>0</v>
      </c>
      <c r="B18" s="25" t="s">
        <v>1</v>
      </c>
      <c r="C18">
        <v>2025</v>
      </c>
      <c r="D18" t="s">
        <v>47</v>
      </c>
      <c r="E18" t="s">
        <v>198</v>
      </c>
      <c r="F18">
        <v>31</v>
      </c>
      <c r="G18" t="s">
        <v>193</v>
      </c>
      <c r="H18" t="b">
        <v>1</v>
      </c>
      <c r="I18">
        <v>1</v>
      </c>
      <c r="J18" t="s">
        <v>194</v>
      </c>
      <c r="K18" s="39" t="b">
        <v>1</v>
      </c>
      <c r="L18" t="s">
        <v>199</v>
      </c>
      <c r="P18">
        <v>3</v>
      </c>
    </row>
    <row r="19" spans="1:16" x14ac:dyDescent="0.3">
      <c r="A19" t="s">
        <v>0</v>
      </c>
      <c r="B19" s="25" t="s">
        <v>1</v>
      </c>
      <c r="C19">
        <v>2025</v>
      </c>
      <c r="D19" t="s">
        <v>48</v>
      </c>
      <c r="E19" t="s">
        <v>198</v>
      </c>
      <c r="F19">
        <v>28</v>
      </c>
      <c r="G19" t="s">
        <v>193</v>
      </c>
      <c r="H19" t="b">
        <v>1</v>
      </c>
      <c r="I19">
        <v>1</v>
      </c>
      <c r="J19" t="s">
        <v>194</v>
      </c>
      <c r="K19" s="39" t="b">
        <v>1</v>
      </c>
      <c r="L19" t="s">
        <v>199</v>
      </c>
      <c r="P19">
        <v>4</v>
      </c>
    </row>
    <row r="20" spans="1:16" x14ac:dyDescent="0.3">
      <c r="A20" t="s">
        <v>0</v>
      </c>
      <c r="B20" s="25" t="s">
        <v>1</v>
      </c>
      <c r="C20">
        <v>2025</v>
      </c>
      <c r="D20" t="s">
        <v>49</v>
      </c>
      <c r="E20" t="s">
        <v>198</v>
      </c>
      <c r="F20">
        <v>52</v>
      </c>
      <c r="G20" t="s">
        <v>193</v>
      </c>
      <c r="H20" t="b">
        <v>1</v>
      </c>
      <c r="I20">
        <v>1</v>
      </c>
      <c r="J20" t="s">
        <v>194</v>
      </c>
      <c r="K20" s="39" t="b">
        <v>1</v>
      </c>
      <c r="L20" t="s">
        <v>199</v>
      </c>
      <c r="P20">
        <v>5</v>
      </c>
    </row>
    <row r="21" spans="1:16" x14ac:dyDescent="0.3">
      <c r="A21" t="s">
        <v>0</v>
      </c>
      <c r="B21" s="25" t="s">
        <v>1</v>
      </c>
      <c r="C21">
        <v>2025</v>
      </c>
      <c r="D21" t="s">
        <v>50</v>
      </c>
      <c r="E21" t="s">
        <v>198</v>
      </c>
      <c r="F21">
        <v>95</v>
      </c>
      <c r="G21" t="s">
        <v>193</v>
      </c>
      <c r="H21" t="b">
        <v>1</v>
      </c>
      <c r="I21">
        <v>1</v>
      </c>
      <c r="J21" t="s">
        <v>194</v>
      </c>
      <c r="K21" s="39" t="b">
        <v>1</v>
      </c>
      <c r="L21" t="s">
        <v>199</v>
      </c>
      <c r="P21">
        <v>6</v>
      </c>
    </row>
    <row r="22" spans="1:16" x14ac:dyDescent="0.3">
      <c r="A22" t="s">
        <v>0</v>
      </c>
      <c r="B22" s="25" t="s">
        <v>1</v>
      </c>
      <c r="C22">
        <v>2025</v>
      </c>
      <c r="D22" t="s">
        <v>51</v>
      </c>
      <c r="E22" t="s">
        <v>198</v>
      </c>
      <c r="F22">
        <v>65</v>
      </c>
      <c r="G22" t="s">
        <v>193</v>
      </c>
      <c r="H22" t="b">
        <v>1</v>
      </c>
      <c r="I22">
        <v>1</v>
      </c>
      <c r="J22" t="s">
        <v>194</v>
      </c>
      <c r="K22" s="39" t="b">
        <v>1</v>
      </c>
      <c r="L22" t="s">
        <v>199</v>
      </c>
      <c r="P22">
        <v>7</v>
      </c>
    </row>
    <row r="23" spans="1:16" x14ac:dyDescent="0.3">
      <c r="A23" t="s">
        <v>0</v>
      </c>
      <c r="B23" s="25" t="s">
        <v>1</v>
      </c>
      <c r="C23">
        <v>2025</v>
      </c>
      <c r="D23" t="s">
        <v>52</v>
      </c>
      <c r="E23" t="s">
        <v>198</v>
      </c>
      <c r="F23">
        <v>60</v>
      </c>
      <c r="G23" t="s">
        <v>193</v>
      </c>
      <c r="H23" t="b">
        <v>1</v>
      </c>
      <c r="I23">
        <v>1</v>
      </c>
      <c r="J23" t="s">
        <v>194</v>
      </c>
      <c r="K23" s="39" t="b">
        <v>1</v>
      </c>
      <c r="L23" t="s">
        <v>199</v>
      </c>
      <c r="P23">
        <v>8</v>
      </c>
    </row>
    <row r="24" spans="1:16" x14ac:dyDescent="0.3">
      <c r="A24" t="s">
        <v>0</v>
      </c>
      <c r="B24" s="25" t="s">
        <v>1</v>
      </c>
      <c r="C24">
        <v>2025</v>
      </c>
      <c r="D24" t="s">
        <v>53</v>
      </c>
      <c r="E24" t="s">
        <v>198</v>
      </c>
      <c r="F24">
        <v>61</v>
      </c>
      <c r="G24" t="s">
        <v>193</v>
      </c>
      <c r="H24" t="b">
        <v>1</v>
      </c>
      <c r="I24">
        <v>1</v>
      </c>
      <c r="J24" t="s">
        <v>194</v>
      </c>
      <c r="K24" s="39" t="b">
        <v>1</v>
      </c>
      <c r="L24" t="s">
        <v>199</v>
      </c>
      <c r="P24">
        <v>9</v>
      </c>
    </row>
    <row r="25" spans="1:16" x14ac:dyDescent="0.3">
      <c r="A25" t="s">
        <v>0</v>
      </c>
      <c r="B25" s="25" t="s">
        <v>1</v>
      </c>
      <c r="C25">
        <v>2025</v>
      </c>
      <c r="D25" t="s">
        <v>54</v>
      </c>
      <c r="E25" t="s">
        <v>198</v>
      </c>
      <c r="F25">
        <v>96</v>
      </c>
      <c r="G25" t="s">
        <v>193</v>
      </c>
      <c r="H25" t="b">
        <v>1</v>
      </c>
      <c r="I25">
        <v>1</v>
      </c>
      <c r="J25" t="s">
        <v>194</v>
      </c>
      <c r="K25" s="39" t="b">
        <v>1</v>
      </c>
      <c r="L25" t="s">
        <v>199</v>
      </c>
      <c r="P25">
        <v>10</v>
      </c>
    </row>
    <row r="26" spans="1:16" x14ac:dyDescent="0.3">
      <c r="A26" t="s">
        <v>0</v>
      </c>
      <c r="B26" s="25" t="s">
        <v>1</v>
      </c>
      <c r="C26">
        <v>2025</v>
      </c>
      <c r="D26" t="s">
        <v>55</v>
      </c>
      <c r="E26" t="s">
        <v>198</v>
      </c>
      <c r="F26">
        <v>97</v>
      </c>
      <c r="G26" t="s">
        <v>193</v>
      </c>
      <c r="H26" t="b">
        <v>1</v>
      </c>
      <c r="I26">
        <v>1</v>
      </c>
      <c r="J26" t="s">
        <v>194</v>
      </c>
      <c r="K26" s="39" t="b">
        <v>1</v>
      </c>
      <c r="L26" t="s">
        <v>199</v>
      </c>
      <c r="P26">
        <v>11</v>
      </c>
    </row>
    <row r="27" spans="1:16" x14ac:dyDescent="0.3">
      <c r="A27" t="s">
        <v>0</v>
      </c>
      <c r="B27" s="25" t="s">
        <v>1</v>
      </c>
      <c r="C27">
        <v>2025</v>
      </c>
      <c r="D27" t="s">
        <v>56</v>
      </c>
      <c r="E27" t="s">
        <v>198</v>
      </c>
      <c r="F27">
        <v>54</v>
      </c>
      <c r="G27" t="s">
        <v>193</v>
      </c>
      <c r="H27" t="b">
        <v>1</v>
      </c>
      <c r="I27">
        <v>1</v>
      </c>
      <c r="J27" t="s">
        <v>194</v>
      </c>
      <c r="K27" s="39" t="b">
        <v>1</v>
      </c>
      <c r="L27" t="s">
        <v>199</v>
      </c>
      <c r="P27">
        <v>12</v>
      </c>
    </row>
    <row r="28" spans="1:16" x14ac:dyDescent="0.3">
      <c r="A28" t="s">
        <v>0</v>
      </c>
      <c r="B28" s="25" t="s">
        <v>1</v>
      </c>
      <c r="C28">
        <v>2025</v>
      </c>
      <c r="D28" t="s">
        <v>2</v>
      </c>
      <c r="E28" t="s">
        <v>200</v>
      </c>
      <c r="F28">
        <v>19</v>
      </c>
      <c r="G28" t="s">
        <v>193</v>
      </c>
      <c r="H28" t="b">
        <v>1</v>
      </c>
      <c r="I28">
        <v>1</v>
      </c>
      <c r="J28" t="s">
        <v>194</v>
      </c>
      <c r="K28" s="39" t="b">
        <v>1</v>
      </c>
      <c r="L28" t="s">
        <v>199</v>
      </c>
      <c r="P28">
        <v>1</v>
      </c>
    </row>
    <row r="29" spans="1:16" x14ac:dyDescent="0.3">
      <c r="A29" t="s">
        <v>0</v>
      </c>
      <c r="B29" s="25" t="s">
        <v>1</v>
      </c>
      <c r="C29">
        <v>2025</v>
      </c>
      <c r="D29" t="s">
        <v>46</v>
      </c>
      <c r="E29" t="s">
        <v>200</v>
      </c>
      <c r="F29">
        <v>79</v>
      </c>
      <c r="G29" t="s">
        <v>193</v>
      </c>
      <c r="H29" t="b">
        <v>1</v>
      </c>
      <c r="I29">
        <v>1</v>
      </c>
      <c r="J29" t="s">
        <v>194</v>
      </c>
      <c r="K29" s="39" t="b">
        <v>1</v>
      </c>
      <c r="L29" t="s">
        <v>199</v>
      </c>
      <c r="P29">
        <v>2</v>
      </c>
    </row>
    <row r="30" spans="1:16" x14ac:dyDescent="0.3">
      <c r="A30" t="s">
        <v>0</v>
      </c>
      <c r="B30" s="25" t="s">
        <v>1</v>
      </c>
      <c r="C30">
        <v>2025</v>
      </c>
      <c r="D30" t="s">
        <v>47</v>
      </c>
      <c r="E30" t="s">
        <v>200</v>
      </c>
      <c r="F30">
        <v>79</v>
      </c>
      <c r="G30" t="s">
        <v>193</v>
      </c>
      <c r="H30" t="b">
        <v>1</v>
      </c>
      <c r="I30">
        <v>1</v>
      </c>
      <c r="J30" t="s">
        <v>194</v>
      </c>
      <c r="K30" s="39" t="b">
        <v>1</v>
      </c>
      <c r="L30" t="s">
        <v>199</v>
      </c>
      <c r="P30">
        <v>3</v>
      </c>
    </row>
    <row r="31" spans="1:16" x14ac:dyDescent="0.3">
      <c r="A31" t="s">
        <v>0</v>
      </c>
      <c r="B31" s="25" t="s">
        <v>1</v>
      </c>
      <c r="C31">
        <v>2025</v>
      </c>
      <c r="D31" t="s">
        <v>48</v>
      </c>
      <c r="E31" t="s">
        <v>200</v>
      </c>
      <c r="F31">
        <v>24</v>
      </c>
      <c r="G31" t="s">
        <v>193</v>
      </c>
      <c r="H31" t="b">
        <v>1</v>
      </c>
      <c r="I31">
        <v>1</v>
      </c>
      <c r="J31" t="s">
        <v>194</v>
      </c>
      <c r="K31" s="39" t="b">
        <v>1</v>
      </c>
      <c r="L31" t="s">
        <v>199</v>
      </c>
      <c r="P31">
        <v>4</v>
      </c>
    </row>
    <row r="32" spans="1:16" x14ac:dyDescent="0.3">
      <c r="A32" t="s">
        <v>0</v>
      </c>
      <c r="B32" s="25" t="s">
        <v>1</v>
      </c>
      <c r="C32">
        <v>2025</v>
      </c>
      <c r="D32" t="s">
        <v>49</v>
      </c>
      <c r="E32" t="s">
        <v>200</v>
      </c>
      <c r="F32">
        <v>59</v>
      </c>
      <c r="G32" t="s">
        <v>193</v>
      </c>
      <c r="H32" t="b">
        <v>1</v>
      </c>
      <c r="I32">
        <v>1</v>
      </c>
      <c r="J32" t="s">
        <v>194</v>
      </c>
      <c r="K32" s="39" t="b">
        <v>1</v>
      </c>
      <c r="L32" t="s">
        <v>199</v>
      </c>
      <c r="P32">
        <v>5</v>
      </c>
    </row>
    <row r="33" spans="1:16" x14ac:dyDescent="0.3">
      <c r="A33" t="s">
        <v>0</v>
      </c>
      <c r="B33" s="25" t="s">
        <v>1</v>
      </c>
      <c r="C33">
        <v>2025</v>
      </c>
      <c r="D33" t="s">
        <v>50</v>
      </c>
      <c r="E33" t="s">
        <v>200</v>
      </c>
      <c r="F33">
        <v>84</v>
      </c>
      <c r="G33" t="s">
        <v>193</v>
      </c>
      <c r="H33" t="b">
        <v>1</v>
      </c>
      <c r="I33">
        <v>1</v>
      </c>
      <c r="J33" t="s">
        <v>194</v>
      </c>
      <c r="K33" s="39" t="b">
        <v>1</v>
      </c>
      <c r="L33" t="s">
        <v>199</v>
      </c>
      <c r="P33">
        <v>6</v>
      </c>
    </row>
    <row r="34" spans="1:16" x14ac:dyDescent="0.3">
      <c r="A34" t="s">
        <v>0</v>
      </c>
      <c r="B34" s="25" t="s">
        <v>1</v>
      </c>
      <c r="C34">
        <v>2025</v>
      </c>
      <c r="D34" t="s">
        <v>51</v>
      </c>
      <c r="E34" t="s">
        <v>200</v>
      </c>
      <c r="F34">
        <v>67</v>
      </c>
      <c r="G34" t="s">
        <v>193</v>
      </c>
      <c r="H34" t="b">
        <v>1</v>
      </c>
      <c r="I34">
        <v>1</v>
      </c>
      <c r="J34" t="s">
        <v>194</v>
      </c>
      <c r="K34" s="39" t="b">
        <v>1</v>
      </c>
      <c r="L34" t="s">
        <v>199</v>
      </c>
      <c r="P34">
        <v>7</v>
      </c>
    </row>
    <row r="35" spans="1:16" x14ac:dyDescent="0.3">
      <c r="A35" t="s">
        <v>0</v>
      </c>
      <c r="B35" s="25" t="s">
        <v>1</v>
      </c>
      <c r="C35">
        <v>2025</v>
      </c>
      <c r="D35" t="s">
        <v>52</v>
      </c>
      <c r="E35" t="s">
        <v>200</v>
      </c>
      <c r="F35">
        <v>75</v>
      </c>
      <c r="G35" t="s">
        <v>193</v>
      </c>
      <c r="H35" t="b">
        <v>1</v>
      </c>
      <c r="I35">
        <v>1</v>
      </c>
      <c r="J35" t="s">
        <v>194</v>
      </c>
      <c r="K35" s="39" t="b">
        <v>1</v>
      </c>
      <c r="L35" t="s">
        <v>199</v>
      </c>
      <c r="P35">
        <v>8</v>
      </c>
    </row>
    <row r="36" spans="1:16" x14ac:dyDescent="0.3">
      <c r="A36" t="s">
        <v>0</v>
      </c>
      <c r="B36" s="25" t="s">
        <v>1</v>
      </c>
      <c r="C36">
        <v>2025</v>
      </c>
      <c r="D36" t="s">
        <v>53</v>
      </c>
      <c r="E36" t="s">
        <v>200</v>
      </c>
      <c r="F36">
        <v>79</v>
      </c>
      <c r="G36" t="s">
        <v>193</v>
      </c>
      <c r="H36" t="b">
        <v>1</v>
      </c>
      <c r="I36">
        <v>1</v>
      </c>
      <c r="J36" t="s">
        <v>194</v>
      </c>
      <c r="K36" s="39" t="b">
        <v>1</v>
      </c>
      <c r="L36" t="s">
        <v>199</v>
      </c>
      <c r="P36">
        <v>9</v>
      </c>
    </row>
    <row r="37" spans="1:16" x14ac:dyDescent="0.3">
      <c r="A37" t="s">
        <v>0</v>
      </c>
      <c r="B37" s="25" t="s">
        <v>1</v>
      </c>
      <c r="C37">
        <v>2025</v>
      </c>
      <c r="D37" t="s">
        <v>54</v>
      </c>
      <c r="E37" t="s">
        <v>200</v>
      </c>
      <c r="F37">
        <v>67</v>
      </c>
      <c r="G37" t="s">
        <v>193</v>
      </c>
      <c r="H37" t="b">
        <v>1</v>
      </c>
      <c r="I37">
        <v>1</v>
      </c>
      <c r="J37" t="s">
        <v>194</v>
      </c>
      <c r="K37" s="39" t="b">
        <v>1</v>
      </c>
      <c r="L37" t="s">
        <v>199</v>
      </c>
      <c r="P37">
        <v>10</v>
      </c>
    </row>
    <row r="38" spans="1:16" x14ac:dyDescent="0.3">
      <c r="A38" t="s">
        <v>0</v>
      </c>
      <c r="B38" s="25" t="s">
        <v>1</v>
      </c>
      <c r="C38">
        <v>2025</v>
      </c>
      <c r="D38" t="s">
        <v>55</v>
      </c>
      <c r="E38" t="s">
        <v>200</v>
      </c>
      <c r="F38">
        <v>53</v>
      </c>
      <c r="G38" t="s">
        <v>193</v>
      </c>
      <c r="H38" t="b">
        <v>1</v>
      </c>
      <c r="I38">
        <v>1</v>
      </c>
      <c r="J38" t="s">
        <v>194</v>
      </c>
      <c r="K38" s="39" t="b">
        <v>1</v>
      </c>
      <c r="L38" t="s">
        <v>199</v>
      </c>
      <c r="P38">
        <v>11</v>
      </c>
    </row>
    <row r="39" spans="1:16" x14ac:dyDescent="0.3">
      <c r="A39" t="s">
        <v>0</v>
      </c>
      <c r="B39" s="25" t="s">
        <v>1</v>
      </c>
      <c r="C39">
        <v>2025</v>
      </c>
      <c r="D39" t="s">
        <v>56</v>
      </c>
      <c r="E39" t="s">
        <v>200</v>
      </c>
      <c r="F39">
        <v>27</v>
      </c>
      <c r="G39" t="s">
        <v>193</v>
      </c>
      <c r="H39" t="b">
        <v>1</v>
      </c>
      <c r="I39">
        <v>1</v>
      </c>
      <c r="J39" t="s">
        <v>194</v>
      </c>
      <c r="K39" s="39" t="b">
        <v>1</v>
      </c>
      <c r="L39" t="s">
        <v>199</v>
      </c>
      <c r="P39">
        <v>12</v>
      </c>
    </row>
    <row r="40" spans="1:16" x14ac:dyDescent="0.3">
      <c r="A40" t="s">
        <v>60</v>
      </c>
      <c r="B40" s="56" t="s">
        <v>61</v>
      </c>
      <c r="C40">
        <v>2025</v>
      </c>
      <c r="D40" t="s">
        <v>48</v>
      </c>
      <c r="E40" t="s">
        <v>192</v>
      </c>
      <c r="F40">
        <v>15</v>
      </c>
      <c r="G40" t="s">
        <v>193</v>
      </c>
      <c r="H40" t="b">
        <v>1</v>
      </c>
      <c r="I40">
        <v>1</v>
      </c>
      <c r="J40" t="s">
        <v>194</v>
      </c>
      <c r="K40" s="39" t="b">
        <v>1</v>
      </c>
      <c r="L40" t="s">
        <v>195</v>
      </c>
      <c r="P40">
        <v>4</v>
      </c>
    </row>
    <row r="41" spans="1:16" x14ac:dyDescent="0.3">
      <c r="A41" t="s">
        <v>60</v>
      </c>
      <c r="B41" s="56" t="s">
        <v>61</v>
      </c>
      <c r="C41">
        <v>2025</v>
      </c>
      <c r="D41" t="s">
        <v>52</v>
      </c>
      <c r="E41" t="s">
        <v>192</v>
      </c>
      <c r="F41">
        <v>27</v>
      </c>
      <c r="G41" t="s">
        <v>193</v>
      </c>
      <c r="H41" t="b">
        <v>1</v>
      </c>
      <c r="I41">
        <v>1</v>
      </c>
      <c r="J41" t="s">
        <v>194</v>
      </c>
      <c r="K41" s="39" t="b">
        <v>1</v>
      </c>
      <c r="L41" t="s">
        <v>195</v>
      </c>
      <c r="P41">
        <v>8</v>
      </c>
    </row>
    <row r="42" spans="1:16" x14ac:dyDescent="0.3">
      <c r="A42" t="s">
        <v>60</v>
      </c>
      <c r="B42" s="56" t="s">
        <v>61</v>
      </c>
      <c r="C42">
        <v>2025</v>
      </c>
      <c r="D42" t="s">
        <v>56</v>
      </c>
      <c r="E42" t="s">
        <v>192</v>
      </c>
      <c r="F42">
        <v>87</v>
      </c>
      <c r="G42" t="s">
        <v>193</v>
      </c>
      <c r="H42" t="b">
        <v>1</v>
      </c>
      <c r="I42">
        <v>1</v>
      </c>
      <c r="J42" t="s">
        <v>194</v>
      </c>
      <c r="K42" s="39" t="b">
        <v>1</v>
      </c>
      <c r="L42" t="s">
        <v>195</v>
      </c>
      <c r="P42">
        <v>12</v>
      </c>
    </row>
    <row r="43" spans="1:16" x14ac:dyDescent="0.3">
      <c r="A43" t="s">
        <v>60</v>
      </c>
      <c r="B43" s="56" t="s">
        <v>61</v>
      </c>
      <c r="C43">
        <v>2025</v>
      </c>
      <c r="D43" t="s">
        <v>2</v>
      </c>
      <c r="E43" t="s">
        <v>196</v>
      </c>
      <c r="F43">
        <v>94</v>
      </c>
      <c r="G43" t="s">
        <v>193</v>
      </c>
      <c r="H43" t="b">
        <v>1</v>
      </c>
      <c r="I43">
        <v>1</v>
      </c>
      <c r="J43" t="s">
        <v>194</v>
      </c>
      <c r="K43" s="39" t="b">
        <v>1</v>
      </c>
      <c r="L43" t="s">
        <v>197</v>
      </c>
      <c r="P43">
        <v>1</v>
      </c>
    </row>
    <row r="44" spans="1:16" x14ac:dyDescent="0.3">
      <c r="A44" t="s">
        <v>60</v>
      </c>
      <c r="B44" s="56" t="s">
        <v>61</v>
      </c>
      <c r="C44">
        <v>2025</v>
      </c>
      <c r="D44" t="s">
        <v>46</v>
      </c>
      <c r="E44" t="s">
        <v>196</v>
      </c>
      <c r="F44">
        <v>74</v>
      </c>
      <c r="G44" t="s">
        <v>193</v>
      </c>
      <c r="H44" t="b">
        <v>1</v>
      </c>
      <c r="I44">
        <v>1</v>
      </c>
      <c r="J44" t="s">
        <v>194</v>
      </c>
      <c r="K44" s="39" t="b">
        <v>1</v>
      </c>
      <c r="L44" t="s">
        <v>197</v>
      </c>
      <c r="P44">
        <v>2</v>
      </c>
    </row>
    <row r="45" spans="1:16" x14ac:dyDescent="0.3">
      <c r="A45" t="s">
        <v>60</v>
      </c>
      <c r="B45" s="56" t="s">
        <v>61</v>
      </c>
      <c r="C45">
        <v>2025</v>
      </c>
      <c r="D45" t="s">
        <v>47</v>
      </c>
      <c r="E45" t="s">
        <v>196</v>
      </c>
      <c r="F45">
        <v>79</v>
      </c>
      <c r="G45" t="s">
        <v>193</v>
      </c>
      <c r="H45" t="b">
        <v>1</v>
      </c>
      <c r="I45">
        <v>1</v>
      </c>
      <c r="J45" t="s">
        <v>194</v>
      </c>
      <c r="K45" s="39" t="b">
        <v>1</v>
      </c>
      <c r="L45" t="s">
        <v>197</v>
      </c>
      <c r="P45">
        <v>3</v>
      </c>
    </row>
    <row r="46" spans="1:16" x14ac:dyDescent="0.3">
      <c r="A46" t="s">
        <v>60</v>
      </c>
      <c r="B46" s="56" t="s">
        <v>61</v>
      </c>
      <c r="C46">
        <v>2025</v>
      </c>
      <c r="D46" t="s">
        <v>48</v>
      </c>
      <c r="E46" t="s">
        <v>196</v>
      </c>
      <c r="F46">
        <v>82</v>
      </c>
      <c r="G46" t="s">
        <v>193</v>
      </c>
      <c r="H46" t="b">
        <v>1</v>
      </c>
      <c r="I46">
        <v>1</v>
      </c>
      <c r="J46" t="s">
        <v>194</v>
      </c>
      <c r="K46" s="39" t="b">
        <v>1</v>
      </c>
      <c r="L46" t="s">
        <v>197</v>
      </c>
      <c r="P46">
        <v>4</v>
      </c>
    </row>
    <row r="47" spans="1:16" x14ac:dyDescent="0.3">
      <c r="A47" t="s">
        <v>60</v>
      </c>
      <c r="B47" s="56" t="s">
        <v>61</v>
      </c>
      <c r="C47">
        <v>2025</v>
      </c>
      <c r="D47" t="s">
        <v>49</v>
      </c>
      <c r="E47" t="s">
        <v>196</v>
      </c>
      <c r="F47">
        <v>82</v>
      </c>
      <c r="G47" t="s">
        <v>193</v>
      </c>
      <c r="H47" t="b">
        <v>1</v>
      </c>
      <c r="I47">
        <v>1</v>
      </c>
      <c r="J47" t="s">
        <v>194</v>
      </c>
      <c r="K47" s="39" t="b">
        <v>1</v>
      </c>
      <c r="L47" t="s">
        <v>197</v>
      </c>
      <c r="P47">
        <v>5</v>
      </c>
    </row>
    <row r="48" spans="1:16" x14ac:dyDescent="0.3">
      <c r="A48" t="s">
        <v>60</v>
      </c>
      <c r="B48" s="56" t="s">
        <v>61</v>
      </c>
      <c r="C48">
        <v>2025</v>
      </c>
      <c r="D48" t="s">
        <v>50</v>
      </c>
      <c r="E48" t="s">
        <v>196</v>
      </c>
      <c r="F48">
        <v>59</v>
      </c>
      <c r="G48" t="s">
        <v>193</v>
      </c>
      <c r="H48" t="b">
        <v>1</v>
      </c>
      <c r="I48">
        <v>1</v>
      </c>
      <c r="J48" t="s">
        <v>194</v>
      </c>
      <c r="K48" s="39" t="b">
        <v>1</v>
      </c>
      <c r="L48" t="s">
        <v>197</v>
      </c>
      <c r="P48">
        <v>6</v>
      </c>
    </row>
    <row r="49" spans="1:16" x14ac:dyDescent="0.3">
      <c r="A49" t="s">
        <v>60</v>
      </c>
      <c r="B49" s="56" t="s">
        <v>61</v>
      </c>
      <c r="C49">
        <v>2025</v>
      </c>
      <c r="D49" t="s">
        <v>51</v>
      </c>
      <c r="E49" t="s">
        <v>196</v>
      </c>
      <c r="F49">
        <v>59</v>
      </c>
      <c r="G49" t="s">
        <v>193</v>
      </c>
      <c r="H49" t="b">
        <v>1</v>
      </c>
      <c r="I49">
        <v>1</v>
      </c>
      <c r="J49" t="s">
        <v>194</v>
      </c>
      <c r="K49" s="39" t="b">
        <v>1</v>
      </c>
      <c r="L49" t="s">
        <v>197</v>
      </c>
      <c r="P49">
        <v>7</v>
      </c>
    </row>
    <row r="50" spans="1:16" x14ac:dyDescent="0.3">
      <c r="A50" t="s">
        <v>60</v>
      </c>
      <c r="B50" s="56" t="s">
        <v>61</v>
      </c>
      <c r="C50">
        <v>2025</v>
      </c>
      <c r="D50" t="s">
        <v>52</v>
      </c>
      <c r="E50" t="s">
        <v>196</v>
      </c>
      <c r="F50">
        <v>72</v>
      </c>
      <c r="G50" t="s">
        <v>193</v>
      </c>
      <c r="H50" t="b">
        <v>1</v>
      </c>
      <c r="I50">
        <v>1</v>
      </c>
      <c r="J50" t="s">
        <v>194</v>
      </c>
      <c r="K50" s="39" t="b">
        <v>1</v>
      </c>
      <c r="L50" t="s">
        <v>197</v>
      </c>
      <c r="P50">
        <v>8</v>
      </c>
    </row>
    <row r="51" spans="1:16" x14ac:dyDescent="0.3">
      <c r="A51" t="s">
        <v>60</v>
      </c>
      <c r="B51" s="56" t="s">
        <v>61</v>
      </c>
      <c r="C51">
        <v>2025</v>
      </c>
      <c r="D51" t="s">
        <v>53</v>
      </c>
      <c r="E51" t="s">
        <v>196</v>
      </c>
      <c r="F51">
        <v>30</v>
      </c>
      <c r="G51" t="s">
        <v>193</v>
      </c>
      <c r="H51" t="b">
        <v>1</v>
      </c>
      <c r="I51">
        <v>1</v>
      </c>
      <c r="J51" t="s">
        <v>194</v>
      </c>
      <c r="K51" s="39" t="b">
        <v>1</v>
      </c>
      <c r="L51" t="s">
        <v>197</v>
      </c>
      <c r="P51">
        <v>9</v>
      </c>
    </row>
    <row r="52" spans="1:16" x14ac:dyDescent="0.3">
      <c r="A52" t="s">
        <v>60</v>
      </c>
      <c r="B52" s="56" t="s">
        <v>61</v>
      </c>
      <c r="C52">
        <v>2025</v>
      </c>
      <c r="D52" t="s">
        <v>54</v>
      </c>
      <c r="E52" t="s">
        <v>196</v>
      </c>
      <c r="F52">
        <v>62</v>
      </c>
      <c r="G52" t="s">
        <v>193</v>
      </c>
      <c r="H52" t="b">
        <v>1</v>
      </c>
      <c r="I52">
        <v>1</v>
      </c>
      <c r="J52" t="s">
        <v>194</v>
      </c>
      <c r="K52" s="39" t="b">
        <v>1</v>
      </c>
      <c r="L52" t="s">
        <v>197</v>
      </c>
      <c r="P52">
        <v>10</v>
      </c>
    </row>
    <row r="53" spans="1:16" x14ac:dyDescent="0.3">
      <c r="A53" t="s">
        <v>60</v>
      </c>
      <c r="B53" s="56" t="s">
        <v>61</v>
      </c>
      <c r="C53">
        <v>2025</v>
      </c>
      <c r="D53" t="s">
        <v>55</v>
      </c>
      <c r="E53" t="s">
        <v>196</v>
      </c>
      <c r="F53">
        <v>40</v>
      </c>
      <c r="G53" t="s">
        <v>193</v>
      </c>
      <c r="H53" t="b">
        <v>1</v>
      </c>
      <c r="I53">
        <v>1</v>
      </c>
      <c r="J53" t="s">
        <v>194</v>
      </c>
      <c r="K53" s="39" t="b">
        <v>1</v>
      </c>
      <c r="L53" t="s">
        <v>197</v>
      </c>
      <c r="P53">
        <v>11</v>
      </c>
    </row>
    <row r="54" spans="1:16" x14ac:dyDescent="0.3">
      <c r="A54" t="s">
        <v>60</v>
      </c>
      <c r="B54" s="56" t="s">
        <v>61</v>
      </c>
      <c r="C54">
        <v>2025</v>
      </c>
      <c r="D54" t="s">
        <v>56</v>
      </c>
      <c r="E54" t="s">
        <v>196</v>
      </c>
      <c r="F54">
        <v>49</v>
      </c>
      <c r="G54" t="s">
        <v>193</v>
      </c>
      <c r="H54" t="b">
        <v>1</v>
      </c>
      <c r="I54">
        <v>1</v>
      </c>
      <c r="J54" t="s">
        <v>194</v>
      </c>
      <c r="K54" s="39" t="b">
        <v>1</v>
      </c>
      <c r="L54" t="s">
        <v>197</v>
      </c>
      <c r="P54">
        <v>12</v>
      </c>
    </row>
    <row r="55" spans="1:16" x14ac:dyDescent="0.3">
      <c r="B55" s="56"/>
      <c r="K55" s="39"/>
    </row>
    <row r="56" spans="1:16" x14ac:dyDescent="0.3">
      <c r="B56" s="56"/>
      <c r="K56" s="39"/>
    </row>
    <row r="57" spans="1:16" x14ac:dyDescent="0.3">
      <c r="A57" t="s">
        <v>60</v>
      </c>
      <c r="B57" s="56" t="s">
        <v>61</v>
      </c>
      <c r="C57">
        <v>2025</v>
      </c>
      <c r="D57" t="s">
        <v>2</v>
      </c>
      <c r="E57" t="s">
        <v>198</v>
      </c>
      <c r="F57">
        <v>81</v>
      </c>
      <c r="G57" t="s">
        <v>193</v>
      </c>
      <c r="H57" t="b">
        <v>1</v>
      </c>
      <c r="I57">
        <v>1</v>
      </c>
      <c r="J57" t="s">
        <v>194</v>
      </c>
      <c r="K57" s="39" t="b">
        <v>1</v>
      </c>
      <c r="L57" t="s">
        <v>199</v>
      </c>
      <c r="P57">
        <v>1</v>
      </c>
    </row>
    <row r="58" spans="1:16" x14ac:dyDescent="0.3">
      <c r="A58" t="s">
        <v>60</v>
      </c>
      <c r="B58" s="56" t="s">
        <v>61</v>
      </c>
      <c r="C58">
        <v>2025</v>
      </c>
      <c r="D58" t="s">
        <v>46</v>
      </c>
      <c r="E58" t="s">
        <v>198</v>
      </c>
      <c r="F58">
        <v>50</v>
      </c>
      <c r="G58" t="s">
        <v>193</v>
      </c>
      <c r="H58" t="b">
        <v>1</v>
      </c>
      <c r="I58">
        <v>1</v>
      </c>
      <c r="J58" t="s">
        <v>194</v>
      </c>
      <c r="K58" s="39" t="b">
        <v>1</v>
      </c>
      <c r="L58" t="s">
        <v>199</v>
      </c>
      <c r="P58">
        <v>2</v>
      </c>
    </row>
    <row r="59" spans="1:16" x14ac:dyDescent="0.3">
      <c r="A59" t="s">
        <v>60</v>
      </c>
      <c r="B59" s="56" t="s">
        <v>61</v>
      </c>
      <c r="C59">
        <v>2025</v>
      </c>
      <c r="D59" t="s">
        <v>47</v>
      </c>
      <c r="E59" t="s">
        <v>198</v>
      </c>
      <c r="F59">
        <v>57</v>
      </c>
      <c r="G59" t="s">
        <v>193</v>
      </c>
      <c r="H59" t="b">
        <v>1</v>
      </c>
      <c r="I59">
        <v>1</v>
      </c>
      <c r="J59" t="s">
        <v>194</v>
      </c>
      <c r="K59" s="39" t="b">
        <v>1</v>
      </c>
      <c r="L59" t="s">
        <v>199</v>
      </c>
      <c r="P59">
        <v>3</v>
      </c>
    </row>
    <row r="60" spans="1:16" x14ac:dyDescent="0.3">
      <c r="A60" t="s">
        <v>60</v>
      </c>
      <c r="B60" s="56" t="s">
        <v>61</v>
      </c>
      <c r="C60">
        <v>2025</v>
      </c>
      <c r="D60" t="s">
        <v>48</v>
      </c>
      <c r="E60" t="s">
        <v>198</v>
      </c>
      <c r="F60">
        <v>17</v>
      </c>
      <c r="G60" t="s">
        <v>193</v>
      </c>
      <c r="H60" t="b">
        <v>1</v>
      </c>
      <c r="I60">
        <v>1</v>
      </c>
      <c r="J60" t="s">
        <v>194</v>
      </c>
      <c r="K60" s="39" t="b">
        <v>1</v>
      </c>
      <c r="L60" t="s">
        <v>199</v>
      </c>
      <c r="P60">
        <v>4</v>
      </c>
    </row>
    <row r="61" spans="1:16" x14ac:dyDescent="0.3">
      <c r="A61" t="s">
        <v>60</v>
      </c>
      <c r="B61" s="56" t="s">
        <v>61</v>
      </c>
      <c r="C61">
        <v>2025</v>
      </c>
      <c r="D61" t="s">
        <v>49</v>
      </c>
      <c r="E61" t="s">
        <v>198</v>
      </c>
      <c r="F61">
        <v>13</v>
      </c>
      <c r="G61" t="s">
        <v>193</v>
      </c>
      <c r="H61" t="b">
        <v>1</v>
      </c>
      <c r="I61">
        <v>1</v>
      </c>
      <c r="J61" t="s">
        <v>194</v>
      </c>
      <c r="K61" s="39" t="b">
        <v>1</v>
      </c>
      <c r="L61" t="s">
        <v>199</v>
      </c>
      <c r="P61">
        <v>5</v>
      </c>
    </row>
    <row r="62" spans="1:16" x14ac:dyDescent="0.3">
      <c r="A62" t="s">
        <v>60</v>
      </c>
      <c r="B62" s="56" t="s">
        <v>61</v>
      </c>
      <c r="C62">
        <v>2025</v>
      </c>
      <c r="D62" t="s">
        <v>50</v>
      </c>
      <c r="E62" t="s">
        <v>198</v>
      </c>
      <c r="F62">
        <v>85</v>
      </c>
      <c r="G62" t="s">
        <v>193</v>
      </c>
      <c r="H62" t="b">
        <v>1</v>
      </c>
      <c r="I62">
        <v>1</v>
      </c>
      <c r="J62" t="s">
        <v>194</v>
      </c>
      <c r="K62" s="39" t="b">
        <v>1</v>
      </c>
      <c r="L62" t="s">
        <v>199</v>
      </c>
      <c r="P62">
        <v>6</v>
      </c>
    </row>
    <row r="63" spans="1:16" x14ac:dyDescent="0.3">
      <c r="A63" t="s">
        <v>60</v>
      </c>
      <c r="B63" s="56" t="s">
        <v>61</v>
      </c>
      <c r="C63">
        <v>2025</v>
      </c>
      <c r="D63" t="s">
        <v>51</v>
      </c>
      <c r="E63" t="s">
        <v>198</v>
      </c>
      <c r="F63">
        <v>85</v>
      </c>
      <c r="G63" t="s">
        <v>193</v>
      </c>
      <c r="H63" t="b">
        <v>1</v>
      </c>
      <c r="I63">
        <v>1</v>
      </c>
      <c r="J63" t="s">
        <v>194</v>
      </c>
      <c r="K63" s="39" t="b">
        <v>1</v>
      </c>
      <c r="L63" t="s">
        <v>199</v>
      </c>
      <c r="P63">
        <v>7</v>
      </c>
    </row>
    <row r="64" spans="1:16" x14ac:dyDescent="0.3">
      <c r="A64" t="s">
        <v>60</v>
      </c>
      <c r="B64" s="56" t="s">
        <v>61</v>
      </c>
      <c r="C64">
        <v>2025</v>
      </c>
      <c r="D64" t="s">
        <v>52</v>
      </c>
      <c r="E64" t="s">
        <v>198</v>
      </c>
      <c r="F64">
        <v>19</v>
      </c>
      <c r="G64" t="s">
        <v>193</v>
      </c>
      <c r="H64" t="b">
        <v>1</v>
      </c>
      <c r="I64">
        <v>1</v>
      </c>
      <c r="J64" t="s">
        <v>194</v>
      </c>
      <c r="K64" s="39" t="b">
        <v>1</v>
      </c>
      <c r="L64" t="s">
        <v>199</v>
      </c>
      <c r="P64">
        <v>8</v>
      </c>
    </row>
    <row r="65" spans="1:16" x14ac:dyDescent="0.3">
      <c r="A65" t="s">
        <v>60</v>
      </c>
      <c r="B65" s="56" t="s">
        <v>61</v>
      </c>
      <c r="C65">
        <v>2025</v>
      </c>
      <c r="D65" t="s">
        <v>53</v>
      </c>
      <c r="E65" t="s">
        <v>198</v>
      </c>
      <c r="F65">
        <v>68</v>
      </c>
      <c r="G65" t="s">
        <v>193</v>
      </c>
      <c r="H65" t="b">
        <v>1</v>
      </c>
      <c r="I65">
        <v>1</v>
      </c>
      <c r="J65" t="s">
        <v>194</v>
      </c>
      <c r="K65" s="39" t="b">
        <v>1</v>
      </c>
      <c r="L65" t="s">
        <v>199</v>
      </c>
      <c r="P65">
        <v>9</v>
      </c>
    </row>
    <row r="66" spans="1:16" x14ac:dyDescent="0.3">
      <c r="A66" t="s">
        <v>60</v>
      </c>
      <c r="B66" s="56" t="s">
        <v>61</v>
      </c>
      <c r="C66">
        <v>2025</v>
      </c>
      <c r="D66" t="s">
        <v>54</v>
      </c>
      <c r="E66" t="s">
        <v>198</v>
      </c>
      <c r="F66">
        <v>55</v>
      </c>
      <c r="G66" t="s">
        <v>193</v>
      </c>
      <c r="H66" t="b">
        <v>1</v>
      </c>
      <c r="I66">
        <v>1</v>
      </c>
      <c r="J66" t="s">
        <v>194</v>
      </c>
      <c r="K66" s="39" t="b">
        <v>1</v>
      </c>
      <c r="L66" t="s">
        <v>199</v>
      </c>
      <c r="P66">
        <v>10</v>
      </c>
    </row>
    <row r="67" spans="1:16" x14ac:dyDescent="0.3">
      <c r="A67" t="s">
        <v>60</v>
      </c>
      <c r="B67" s="56" t="s">
        <v>61</v>
      </c>
      <c r="C67">
        <v>2025</v>
      </c>
      <c r="D67" t="s">
        <v>55</v>
      </c>
      <c r="E67" t="s">
        <v>198</v>
      </c>
      <c r="F67">
        <v>23</v>
      </c>
      <c r="G67" t="s">
        <v>193</v>
      </c>
      <c r="H67" t="b">
        <v>1</v>
      </c>
      <c r="I67">
        <v>1</v>
      </c>
      <c r="J67" t="s">
        <v>194</v>
      </c>
      <c r="K67" s="39" t="b">
        <v>1</v>
      </c>
      <c r="L67" t="s">
        <v>199</v>
      </c>
      <c r="P67">
        <v>11</v>
      </c>
    </row>
    <row r="68" spans="1:16" x14ac:dyDescent="0.3">
      <c r="A68" t="s">
        <v>60</v>
      </c>
      <c r="B68" s="56" t="s">
        <v>61</v>
      </c>
      <c r="C68">
        <v>2025</v>
      </c>
      <c r="D68" t="s">
        <v>56</v>
      </c>
      <c r="E68" t="s">
        <v>198</v>
      </c>
      <c r="F68">
        <v>70</v>
      </c>
      <c r="G68" t="s">
        <v>193</v>
      </c>
      <c r="H68" t="b">
        <v>1</v>
      </c>
      <c r="I68">
        <v>1</v>
      </c>
      <c r="J68" t="s">
        <v>194</v>
      </c>
      <c r="K68" s="39" t="b">
        <v>1</v>
      </c>
      <c r="L68" t="s">
        <v>199</v>
      </c>
      <c r="P68">
        <v>12</v>
      </c>
    </row>
    <row r="69" spans="1:16" x14ac:dyDescent="0.3">
      <c r="B69" s="56"/>
      <c r="K69" s="39"/>
    </row>
    <row r="70" spans="1:16" x14ac:dyDescent="0.3">
      <c r="A70" t="s">
        <v>60</v>
      </c>
      <c r="B70" s="56" t="s">
        <v>61</v>
      </c>
      <c r="C70">
        <v>2025</v>
      </c>
      <c r="D70" t="s">
        <v>2</v>
      </c>
      <c r="E70" t="s">
        <v>201</v>
      </c>
      <c r="F70">
        <v>41</v>
      </c>
      <c r="G70" t="s">
        <v>193</v>
      </c>
      <c r="H70" t="b">
        <v>1</v>
      </c>
      <c r="I70">
        <v>1</v>
      </c>
      <c r="J70" t="s">
        <v>194</v>
      </c>
      <c r="K70" s="39" t="b">
        <v>1</v>
      </c>
      <c r="L70" t="s">
        <v>199</v>
      </c>
      <c r="P70">
        <v>1</v>
      </c>
    </row>
    <row r="71" spans="1:16" x14ac:dyDescent="0.3">
      <c r="A71" t="s">
        <v>60</v>
      </c>
      <c r="B71" s="56" t="s">
        <v>61</v>
      </c>
      <c r="C71">
        <v>2025</v>
      </c>
      <c r="D71" t="s">
        <v>46</v>
      </c>
      <c r="E71" t="s">
        <v>201</v>
      </c>
      <c r="F71">
        <v>10</v>
      </c>
      <c r="G71" t="s">
        <v>193</v>
      </c>
      <c r="H71" t="b">
        <v>1</v>
      </c>
      <c r="I71">
        <v>1</v>
      </c>
      <c r="J71" t="s">
        <v>194</v>
      </c>
      <c r="K71" s="39" t="b">
        <v>1</v>
      </c>
      <c r="L71" t="s">
        <v>199</v>
      </c>
      <c r="P71">
        <v>2</v>
      </c>
    </row>
    <row r="72" spans="1:16" x14ac:dyDescent="0.3">
      <c r="A72" t="s">
        <v>60</v>
      </c>
      <c r="B72" s="56" t="s">
        <v>61</v>
      </c>
      <c r="C72">
        <v>2025</v>
      </c>
      <c r="D72" t="s">
        <v>47</v>
      </c>
      <c r="E72" t="s">
        <v>201</v>
      </c>
      <c r="F72">
        <v>92</v>
      </c>
      <c r="G72" t="s">
        <v>193</v>
      </c>
      <c r="H72" t="b">
        <v>1</v>
      </c>
      <c r="I72">
        <v>1</v>
      </c>
      <c r="J72" t="s">
        <v>194</v>
      </c>
      <c r="K72" s="39" t="b">
        <v>1</v>
      </c>
      <c r="L72" t="s">
        <v>199</v>
      </c>
      <c r="P72">
        <v>3</v>
      </c>
    </row>
    <row r="73" spans="1:16" x14ac:dyDescent="0.3">
      <c r="A73" t="s">
        <v>60</v>
      </c>
      <c r="B73" s="56" t="s">
        <v>61</v>
      </c>
      <c r="C73">
        <v>2025</v>
      </c>
      <c r="D73" t="s">
        <v>48</v>
      </c>
      <c r="E73" t="s">
        <v>201</v>
      </c>
      <c r="F73">
        <v>31</v>
      </c>
      <c r="G73" t="s">
        <v>193</v>
      </c>
      <c r="H73" t="b">
        <v>1</v>
      </c>
      <c r="I73">
        <v>1</v>
      </c>
      <c r="J73" t="s">
        <v>194</v>
      </c>
      <c r="K73" s="39" t="b">
        <v>1</v>
      </c>
      <c r="L73" t="s">
        <v>199</v>
      </c>
      <c r="P73">
        <v>4</v>
      </c>
    </row>
    <row r="74" spans="1:16" x14ac:dyDescent="0.3">
      <c r="A74" t="s">
        <v>60</v>
      </c>
      <c r="B74" s="56" t="s">
        <v>61</v>
      </c>
      <c r="C74">
        <v>2025</v>
      </c>
      <c r="D74" t="s">
        <v>49</v>
      </c>
      <c r="E74" t="s">
        <v>201</v>
      </c>
      <c r="F74">
        <v>21</v>
      </c>
      <c r="G74" t="s">
        <v>193</v>
      </c>
      <c r="H74" t="b">
        <v>1</v>
      </c>
      <c r="I74">
        <v>1</v>
      </c>
      <c r="J74" t="s">
        <v>194</v>
      </c>
      <c r="K74" s="39" t="b">
        <v>1</v>
      </c>
      <c r="L74" t="s">
        <v>199</v>
      </c>
      <c r="P74">
        <v>5</v>
      </c>
    </row>
    <row r="75" spans="1:16" x14ac:dyDescent="0.3">
      <c r="A75" t="s">
        <v>60</v>
      </c>
      <c r="B75" s="56" t="s">
        <v>61</v>
      </c>
      <c r="C75">
        <v>2025</v>
      </c>
      <c r="D75" t="s">
        <v>50</v>
      </c>
      <c r="E75" t="s">
        <v>201</v>
      </c>
      <c r="F75">
        <v>61</v>
      </c>
      <c r="G75" t="s">
        <v>193</v>
      </c>
      <c r="H75" t="b">
        <v>1</v>
      </c>
      <c r="I75">
        <v>1</v>
      </c>
      <c r="J75" t="s">
        <v>194</v>
      </c>
      <c r="K75" s="39" t="b">
        <v>1</v>
      </c>
      <c r="L75" t="s">
        <v>199</v>
      </c>
      <c r="P75">
        <v>6</v>
      </c>
    </row>
    <row r="76" spans="1:16" x14ac:dyDescent="0.3">
      <c r="A76" t="s">
        <v>60</v>
      </c>
      <c r="B76" s="56" t="s">
        <v>61</v>
      </c>
      <c r="C76">
        <v>2025</v>
      </c>
      <c r="D76" t="s">
        <v>51</v>
      </c>
      <c r="E76" t="s">
        <v>201</v>
      </c>
      <c r="F76">
        <v>41</v>
      </c>
      <c r="G76" t="s">
        <v>193</v>
      </c>
      <c r="H76" t="b">
        <v>1</v>
      </c>
      <c r="I76">
        <v>1</v>
      </c>
      <c r="J76" t="s">
        <v>194</v>
      </c>
      <c r="K76" s="39" t="b">
        <v>1</v>
      </c>
      <c r="L76" t="s">
        <v>199</v>
      </c>
      <c r="P76">
        <v>7</v>
      </c>
    </row>
    <row r="77" spans="1:16" x14ac:dyDescent="0.3">
      <c r="A77" t="s">
        <v>60</v>
      </c>
      <c r="B77" s="56" t="s">
        <v>61</v>
      </c>
      <c r="C77">
        <v>2025</v>
      </c>
      <c r="D77" t="s">
        <v>52</v>
      </c>
      <c r="E77" t="s">
        <v>201</v>
      </c>
      <c r="F77">
        <v>38</v>
      </c>
      <c r="G77" t="s">
        <v>193</v>
      </c>
      <c r="H77" t="b">
        <v>1</v>
      </c>
      <c r="I77">
        <v>1</v>
      </c>
      <c r="J77" t="s">
        <v>194</v>
      </c>
      <c r="K77" s="39" t="b">
        <v>1</v>
      </c>
      <c r="L77" t="s">
        <v>199</v>
      </c>
      <c r="P77">
        <v>8</v>
      </c>
    </row>
    <row r="78" spans="1:16" x14ac:dyDescent="0.3">
      <c r="A78" t="s">
        <v>60</v>
      </c>
      <c r="B78" s="56" t="s">
        <v>61</v>
      </c>
      <c r="C78">
        <v>2025</v>
      </c>
      <c r="D78" t="s">
        <v>53</v>
      </c>
      <c r="E78" t="s">
        <v>201</v>
      </c>
      <c r="F78">
        <v>43</v>
      </c>
      <c r="G78" t="s">
        <v>193</v>
      </c>
      <c r="H78" t="b">
        <v>1</v>
      </c>
      <c r="I78">
        <v>1</v>
      </c>
      <c r="J78" t="s">
        <v>194</v>
      </c>
      <c r="K78" s="39" t="b">
        <v>1</v>
      </c>
      <c r="L78" t="s">
        <v>199</v>
      </c>
      <c r="P78">
        <v>9</v>
      </c>
    </row>
    <row r="79" spans="1:16" x14ac:dyDescent="0.3">
      <c r="A79" t="s">
        <v>60</v>
      </c>
      <c r="B79" s="56" t="s">
        <v>61</v>
      </c>
      <c r="C79">
        <v>2025</v>
      </c>
      <c r="D79" t="s">
        <v>54</v>
      </c>
      <c r="E79" t="s">
        <v>201</v>
      </c>
      <c r="F79">
        <v>83</v>
      </c>
      <c r="G79" t="s">
        <v>193</v>
      </c>
      <c r="H79" t="b">
        <v>1</v>
      </c>
      <c r="I79">
        <v>1</v>
      </c>
      <c r="J79" t="s">
        <v>194</v>
      </c>
      <c r="K79" s="39" t="b">
        <v>1</v>
      </c>
      <c r="L79" t="s">
        <v>199</v>
      </c>
      <c r="P79">
        <v>10</v>
      </c>
    </row>
    <row r="80" spans="1:16" x14ac:dyDescent="0.3">
      <c r="A80" t="s">
        <v>60</v>
      </c>
      <c r="B80" s="56" t="s">
        <v>61</v>
      </c>
      <c r="C80">
        <v>2025</v>
      </c>
      <c r="D80" t="s">
        <v>55</v>
      </c>
      <c r="E80" t="s">
        <v>201</v>
      </c>
      <c r="F80">
        <v>88</v>
      </c>
      <c r="G80" t="s">
        <v>193</v>
      </c>
      <c r="H80" t="b">
        <v>1</v>
      </c>
      <c r="I80">
        <v>1</v>
      </c>
      <c r="J80" t="s">
        <v>194</v>
      </c>
      <c r="K80" s="39" t="b">
        <v>1</v>
      </c>
      <c r="L80" t="s">
        <v>199</v>
      </c>
      <c r="P80">
        <v>11</v>
      </c>
    </row>
    <row r="81" spans="1:16" x14ac:dyDescent="0.3">
      <c r="A81" t="s">
        <v>60</v>
      </c>
      <c r="B81" s="56" t="s">
        <v>61</v>
      </c>
      <c r="C81">
        <v>2025</v>
      </c>
      <c r="D81" t="s">
        <v>56</v>
      </c>
      <c r="E81" t="s">
        <v>201</v>
      </c>
      <c r="F81">
        <v>20</v>
      </c>
      <c r="G81" t="s">
        <v>193</v>
      </c>
      <c r="H81" t="b">
        <v>1</v>
      </c>
      <c r="I81">
        <v>1</v>
      </c>
      <c r="J81" t="s">
        <v>194</v>
      </c>
      <c r="K81" s="39" t="b">
        <v>1</v>
      </c>
      <c r="L81" t="s">
        <v>199</v>
      </c>
      <c r="P81">
        <v>12</v>
      </c>
    </row>
    <row r="82" spans="1:16" x14ac:dyDescent="0.3">
      <c r="B82" s="56"/>
      <c r="K82" s="39"/>
    </row>
    <row r="83" spans="1:16" x14ac:dyDescent="0.3">
      <c r="A83" t="s">
        <v>60</v>
      </c>
      <c r="B83" s="56" t="s">
        <v>61</v>
      </c>
      <c r="C83">
        <v>2025</v>
      </c>
      <c r="D83" t="s">
        <v>2</v>
      </c>
      <c r="E83" t="s">
        <v>200</v>
      </c>
      <c r="F83">
        <v>57</v>
      </c>
      <c r="G83" t="s">
        <v>193</v>
      </c>
      <c r="H83" t="b">
        <v>1</v>
      </c>
      <c r="I83">
        <v>1</v>
      </c>
      <c r="J83" t="s">
        <v>194</v>
      </c>
      <c r="K83" s="39" t="b">
        <v>1</v>
      </c>
      <c r="L83" t="s">
        <v>199</v>
      </c>
      <c r="P83">
        <v>1</v>
      </c>
    </row>
    <row r="84" spans="1:16" x14ac:dyDescent="0.3">
      <c r="A84" t="s">
        <v>60</v>
      </c>
      <c r="B84" s="56" t="s">
        <v>61</v>
      </c>
      <c r="C84">
        <v>2025</v>
      </c>
      <c r="D84" t="s">
        <v>46</v>
      </c>
      <c r="E84" t="s">
        <v>200</v>
      </c>
      <c r="F84">
        <v>65</v>
      </c>
      <c r="G84" t="s">
        <v>193</v>
      </c>
      <c r="H84" t="b">
        <v>1</v>
      </c>
      <c r="I84">
        <v>1</v>
      </c>
      <c r="J84" t="s">
        <v>194</v>
      </c>
      <c r="K84" s="39" t="b">
        <v>1</v>
      </c>
      <c r="L84" t="s">
        <v>199</v>
      </c>
      <c r="P84">
        <v>2</v>
      </c>
    </row>
    <row r="85" spans="1:16" x14ac:dyDescent="0.3">
      <c r="A85" t="s">
        <v>60</v>
      </c>
      <c r="B85" s="56" t="s">
        <v>61</v>
      </c>
      <c r="C85">
        <v>2025</v>
      </c>
      <c r="D85" t="s">
        <v>47</v>
      </c>
      <c r="E85" t="s">
        <v>200</v>
      </c>
      <c r="F85">
        <v>65</v>
      </c>
      <c r="G85" t="s">
        <v>193</v>
      </c>
      <c r="H85" t="b">
        <v>1</v>
      </c>
      <c r="I85">
        <v>1</v>
      </c>
      <c r="J85" t="s">
        <v>194</v>
      </c>
      <c r="K85" s="39" t="b">
        <v>1</v>
      </c>
      <c r="L85" t="s">
        <v>199</v>
      </c>
      <c r="P85">
        <v>3</v>
      </c>
    </row>
    <row r="86" spans="1:16" x14ac:dyDescent="0.3">
      <c r="A86" t="s">
        <v>60</v>
      </c>
      <c r="B86" s="56" t="s">
        <v>61</v>
      </c>
      <c r="C86">
        <v>2025</v>
      </c>
      <c r="D86" t="s">
        <v>48</v>
      </c>
      <c r="E86" t="s">
        <v>200</v>
      </c>
      <c r="F86">
        <v>26</v>
      </c>
      <c r="G86" t="s">
        <v>193</v>
      </c>
      <c r="H86" t="b">
        <v>1</v>
      </c>
      <c r="I86">
        <v>1</v>
      </c>
      <c r="J86" t="s">
        <v>194</v>
      </c>
      <c r="K86" s="39" t="b">
        <v>1</v>
      </c>
      <c r="L86" t="s">
        <v>199</v>
      </c>
      <c r="P86">
        <v>4</v>
      </c>
    </row>
    <row r="87" spans="1:16" x14ac:dyDescent="0.3">
      <c r="A87" t="s">
        <v>60</v>
      </c>
      <c r="B87" s="56" t="s">
        <v>61</v>
      </c>
      <c r="C87">
        <v>2025</v>
      </c>
      <c r="D87" t="s">
        <v>49</v>
      </c>
      <c r="E87" t="s">
        <v>200</v>
      </c>
      <c r="F87">
        <v>87</v>
      </c>
      <c r="G87" t="s">
        <v>193</v>
      </c>
      <c r="H87" t="b">
        <v>1</v>
      </c>
      <c r="I87">
        <v>1</v>
      </c>
      <c r="J87" t="s">
        <v>194</v>
      </c>
      <c r="K87" s="39" t="b">
        <v>1</v>
      </c>
      <c r="L87" t="s">
        <v>199</v>
      </c>
      <c r="P87">
        <v>5</v>
      </c>
    </row>
    <row r="88" spans="1:16" x14ac:dyDescent="0.3">
      <c r="A88" t="s">
        <v>60</v>
      </c>
      <c r="B88" s="56" t="s">
        <v>61</v>
      </c>
      <c r="C88">
        <v>2025</v>
      </c>
      <c r="D88" t="s">
        <v>50</v>
      </c>
      <c r="E88" t="s">
        <v>200</v>
      </c>
      <c r="F88">
        <v>40</v>
      </c>
      <c r="G88" t="s">
        <v>193</v>
      </c>
      <c r="H88" t="b">
        <v>1</v>
      </c>
      <c r="I88">
        <v>1</v>
      </c>
      <c r="J88" t="s">
        <v>194</v>
      </c>
      <c r="K88" s="39" t="b">
        <v>1</v>
      </c>
      <c r="L88" t="s">
        <v>199</v>
      </c>
      <c r="P88">
        <v>6</v>
      </c>
    </row>
    <row r="89" spans="1:16" x14ac:dyDescent="0.3">
      <c r="A89" t="s">
        <v>60</v>
      </c>
      <c r="B89" s="56" t="s">
        <v>61</v>
      </c>
      <c r="C89">
        <v>2025</v>
      </c>
      <c r="D89" t="s">
        <v>51</v>
      </c>
      <c r="E89" t="s">
        <v>200</v>
      </c>
      <c r="F89">
        <v>78</v>
      </c>
      <c r="G89" t="s">
        <v>193</v>
      </c>
      <c r="H89" t="b">
        <v>1</v>
      </c>
      <c r="I89">
        <v>1</v>
      </c>
      <c r="J89" t="s">
        <v>194</v>
      </c>
      <c r="K89" s="39" t="b">
        <v>1</v>
      </c>
      <c r="L89" t="s">
        <v>199</v>
      </c>
      <c r="P89">
        <v>7</v>
      </c>
    </row>
    <row r="90" spans="1:16" x14ac:dyDescent="0.3">
      <c r="A90" t="s">
        <v>60</v>
      </c>
      <c r="B90" s="56" t="s">
        <v>61</v>
      </c>
      <c r="C90">
        <v>2025</v>
      </c>
      <c r="D90" t="s">
        <v>52</v>
      </c>
      <c r="E90" t="s">
        <v>200</v>
      </c>
      <c r="F90">
        <v>45</v>
      </c>
      <c r="G90" t="s">
        <v>193</v>
      </c>
      <c r="H90" t="b">
        <v>1</v>
      </c>
      <c r="I90">
        <v>1</v>
      </c>
      <c r="J90" t="s">
        <v>194</v>
      </c>
      <c r="K90" s="39" t="b">
        <v>1</v>
      </c>
      <c r="L90" t="s">
        <v>199</v>
      </c>
      <c r="P90">
        <v>8</v>
      </c>
    </row>
    <row r="91" spans="1:16" x14ac:dyDescent="0.3">
      <c r="A91" t="s">
        <v>60</v>
      </c>
      <c r="B91" s="56" t="s">
        <v>61</v>
      </c>
      <c r="C91">
        <v>2025</v>
      </c>
      <c r="D91" t="s">
        <v>53</v>
      </c>
      <c r="E91" t="s">
        <v>200</v>
      </c>
      <c r="F91">
        <v>73</v>
      </c>
      <c r="G91" t="s">
        <v>193</v>
      </c>
      <c r="H91" t="b">
        <v>1</v>
      </c>
      <c r="I91">
        <v>1</v>
      </c>
      <c r="J91" t="s">
        <v>194</v>
      </c>
      <c r="K91" s="39" t="b">
        <v>1</v>
      </c>
      <c r="L91" t="s">
        <v>199</v>
      </c>
      <c r="P91">
        <v>9</v>
      </c>
    </row>
    <row r="92" spans="1:16" x14ac:dyDescent="0.3">
      <c r="A92" t="s">
        <v>60</v>
      </c>
      <c r="B92" s="56" t="s">
        <v>61</v>
      </c>
      <c r="C92">
        <v>2025</v>
      </c>
      <c r="D92" t="s">
        <v>54</v>
      </c>
      <c r="E92" t="s">
        <v>200</v>
      </c>
      <c r="F92">
        <v>26</v>
      </c>
      <c r="G92" t="s">
        <v>193</v>
      </c>
      <c r="H92" t="b">
        <v>1</v>
      </c>
      <c r="I92">
        <v>1</v>
      </c>
      <c r="J92" t="s">
        <v>194</v>
      </c>
      <c r="K92" s="39" t="b">
        <v>1</v>
      </c>
      <c r="L92" t="s">
        <v>199</v>
      </c>
      <c r="P92">
        <v>10</v>
      </c>
    </row>
    <row r="93" spans="1:16" x14ac:dyDescent="0.3">
      <c r="A93" t="s">
        <v>60</v>
      </c>
      <c r="B93" s="56" t="s">
        <v>61</v>
      </c>
      <c r="C93">
        <v>2025</v>
      </c>
      <c r="D93" t="s">
        <v>55</v>
      </c>
      <c r="E93" t="s">
        <v>200</v>
      </c>
      <c r="F93">
        <v>50</v>
      </c>
      <c r="G93" t="s">
        <v>193</v>
      </c>
      <c r="H93" t="b">
        <v>1</v>
      </c>
      <c r="I93">
        <v>1</v>
      </c>
      <c r="J93" t="s">
        <v>194</v>
      </c>
      <c r="K93" s="39" t="b">
        <v>1</v>
      </c>
      <c r="L93" t="s">
        <v>199</v>
      </c>
      <c r="P93">
        <v>11</v>
      </c>
    </row>
    <row r="94" spans="1:16" x14ac:dyDescent="0.3">
      <c r="A94" t="s">
        <v>60</v>
      </c>
      <c r="B94" s="56" t="s">
        <v>61</v>
      </c>
      <c r="C94">
        <v>2025</v>
      </c>
      <c r="D94" t="s">
        <v>56</v>
      </c>
      <c r="E94" t="s">
        <v>200</v>
      </c>
      <c r="F94">
        <v>78</v>
      </c>
      <c r="G94" t="s">
        <v>193</v>
      </c>
      <c r="H94" t="b">
        <v>1</v>
      </c>
      <c r="I94">
        <v>1</v>
      </c>
      <c r="J94" t="s">
        <v>194</v>
      </c>
      <c r="K94" s="39" t="b">
        <v>1</v>
      </c>
      <c r="L94" t="s">
        <v>199</v>
      </c>
      <c r="P94">
        <v>12</v>
      </c>
    </row>
    <row r="97" spans="1:16" x14ac:dyDescent="0.3">
      <c r="A97" t="s">
        <v>69</v>
      </c>
      <c r="B97" s="57" t="s">
        <v>70</v>
      </c>
      <c r="C97">
        <v>2025</v>
      </c>
      <c r="D97" t="s">
        <v>48</v>
      </c>
      <c r="E97" t="s">
        <v>192</v>
      </c>
      <c r="F97">
        <v>73</v>
      </c>
      <c r="G97" t="s">
        <v>193</v>
      </c>
      <c r="H97" t="b">
        <v>1</v>
      </c>
      <c r="I97">
        <v>1</v>
      </c>
      <c r="J97" t="s">
        <v>194</v>
      </c>
      <c r="K97" s="39" t="b">
        <v>1</v>
      </c>
      <c r="L97" t="s">
        <v>195</v>
      </c>
      <c r="P97">
        <v>4</v>
      </c>
    </row>
    <row r="98" spans="1:16" x14ac:dyDescent="0.3">
      <c r="A98" t="s">
        <v>69</v>
      </c>
      <c r="B98" s="57" t="s">
        <v>70</v>
      </c>
      <c r="C98">
        <v>2025</v>
      </c>
      <c r="D98" t="s">
        <v>52</v>
      </c>
      <c r="E98" t="s">
        <v>192</v>
      </c>
      <c r="F98">
        <v>19</v>
      </c>
      <c r="G98" t="s">
        <v>193</v>
      </c>
      <c r="H98" t="b">
        <v>1</v>
      </c>
      <c r="I98">
        <v>1</v>
      </c>
      <c r="J98" t="s">
        <v>194</v>
      </c>
      <c r="K98" s="39" t="b">
        <v>1</v>
      </c>
      <c r="L98" t="s">
        <v>195</v>
      </c>
      <c r="P98">
        <v>8</v>
      </c>
    </row>
    <row r="99" spans="1:16" x14ac:dyDescent="0.3">
      <c r="A99" t="s">
        <v>69</v>
      </c>
      <c r="B99" s="57" t="s">
        <v>70</v>
      </c>
      <c r="C99">
        <v>2025</v>
      </c>
      <c r="D99" t="s">
        <v>56</v>
      </c>
      <c r="E99" t="s">
        <v>192</v>
      </c>
      <c r="F99">
        <v>88</v>
      </c>
      <c r="G99" t="s">
        <v>193</v>
      </c>
      <c r="H99" t="b">
        <v>1</v>
      </c>
      <c r="I99">
        <v>1</v>
      </c>
      <c r="J99" t="s">
        <v>194</v>
      </c>
      <c r="K99" s="39" t="b">
        <v>1</v>
      </c>
      <c r="L99" t="s">
        <v>195</v>
      </c>
      <c r="P99">
        <v>12</v>
      </c>
    </row>
    <row r="100" spans="1:16" x14ac:dyDescent="0.3">
      <c r="B100" s="57"/>
      <c r="K100" s="39"/>
    </row>
    <row r="101" spans="1:16" x14ac:dyDescent="0.3">
      <c r="A101" t="s">
        <v>69</v>
      </c>
      <c r="B101" s="57" t="s">
        <v>70</v>
      </c>
      <c r="C101">
        <v>2025</v>
      </c>
      <c r="D101" t="s">
        <v>2</v>
      </c>
      <c r="E101" t="s">
        <v>196</v>
      </c>
      <c r="F101">
        <v>99</v>
      </c>
      <c r="G101" t="s">
        <v>193</v>
      </c>
      <c r="H101" t="b">
        <v>1</v>
      </c>
      <c r="I101">
        <v>1</v>
      </c>
      <c r="J101" t="s">
        <v>194</v>
      </c>
      <c r="K101" s="39" t="b">
        <v>1</v>
      </c>
      <c r="L101" t="s">
        <v>197</v>
      </c>
      <c r="P101">
        <v>1</v>
      </c>
    </row>
    <row r="102" spans="1:16" x14ac:dyDescent="0.3">
      <c r="A102" t="s">
        <v>69</v>
      </c>
      <c r="B102" s="57" t="s">
        <v>70</v>
      </c>
      <c r="C102">
        <v>2025</v>
      </c>
      <c r="D102" t="s">
        <v>46</v>
      </c>
      <c r="E102" t="s">
        <v>196</v>
      </c>
      <c r="F102">
        <v>90</v>
      </c>
      <c r="G102" t="s">
        <v>193</v>
      </c>
      <c r="H102" t="b">
        <v>1</v>
      </c>
      <c r="I102">
        <v>1</v>
      </c>
      <c r="J102" t="s">
        <v>194</v>
      </c>
      <c r="K102" s="39" t="b">
        <v>1</v>
      </c>
      <c r="L102" t="s">
        <v>197</v>
      </c>
      <c r="P102">
        <v>2</v>
      </c>
    </row>
    <row r="103" spans="1:16" x14ac:dyDescent="0.3">
      <c r="A103" t="s">
        <v>69</v>
      </c>
      <c r="B103" s="57" t="s">
        <v>70</v>
      </c>
      <c r="C103">
        <v>2025</v>
      </c>
      <c r="D103" t="s">
        <v>47</v>
      </c>
      <c r="E103" t="s">
        <v>196</v>
      </c>
      <c r="F103">
        <v>57</v>
      </c>
      <c r="G103" t="s">
        <v>193</v>
      </c>
      <c r="H103" t="b">
        <v>1</v>
      </c>
      <c r="I103">
        <v>1</v>
      </c>
      <c r="J103" t="s">
        <v>194</v>
      </c>
      <c r="K103" s="39" t="b">
        <v>1</v>
      </c>
      <c r="L103" t="s">
        <v>197</v>
      </c>
      <c r="P103">
        <v>3</v>
      </c>
    </row>
    <row r="104" spans="1:16" x14ac:dyDescent="0.3">
      <c r="A104" t="s">
        <v>69</v>
      </c>
      <c r="B104" s="57" t="s">
        <v>70</v>
      </c>
      <c r="C104">
        <v>2025</v>
      </c>
      <c r="D104" t="s">
        <v>48</v>
      </c>
      <c r="E104" t="s">
        <v>196</v>
      </c>
      <c r="F104">
        <v>89</v>
      </c>
      <c r="G104" t="s">
        <v>193</v>
      </c>
      <c r="H104" t="b">
        <v>1</v>
      </c>
      <c r="I104">
        <v>1</v>
      </c>
      <c r="J104" t="s">
        <v>194</v>
      </c>
      <c r="K104" s="39" t="b">
        <v>1</v>
      </c>
      <c r="L104" t="s">
        <v>197</v>
      </c>
      <c r="P104">
        <v>4</v>
      </c>
    </row>
    <row r="105" spans="1:16" x14ac:dyDescent="0.3">
      <c r="A105" t="s">
        <v>69</v>
      </c>
      <c r="B105" s="57" t="s">
        <v>70</v>
      </c>
      <c r="C105">
        <v>2025</v>
      </c>
      <c r="D105" t="s">
        <v>49</v>
      </c>
      <c r="E105" t="s">
        <v>196</v>
      </c>
      <c r="F105">
        <v>21</v>
      </c>
      <c r="G105" t="s">
        <v>193</v>
      </c>
      <c r="H105" t="b">
        <v>1</v>
      </c>
      <c r="I105">
        <v>1</v>
      </c>
      <c r="J105" t="s">
        <v>194</v>
      </c>
      <c r="K105" s="39" t="b">
        <v>1</v>
      </c>
      <c r="L105" t="s">
        <v>197</v>
      </c>
      <c r="P105">
        <v>5</v>
      </c>
    </row>
    <row r="106" spans="1:16" x14ac:dyDescent="0.3">
      <c r="A106" t="s">
        <v>69</v>
      </c>
      <c r="B106" s="57" t="s">
        <v>70</v>
      </c>
      <c r="C106">
        <v>2025</v>
      </c>
      <c r="D106" t="s">
        <v>50</v>
      </c>
      <c r="E106" t="s">
        <v>196</v>
      </c>
      <c r="F106">
        <v>73</v>
      </c>
      <c r="G106" t="s">
        <v>193</v>
      </c>
      <c r="H106" t="b">
        <v>1</v>
      </c>
      <c r="I106">
        <v>1</v>
      </c>
      <c r="J106" t="s">
        <v>194</v>
      </c>
      <c r="K106" s="39" t="b">
        <v>1</v>
      </c>
      <c r="L106" t="s">
        <v>197</v>
      </c>
      <c r="P106">
        <v>6</v>
      </c>
    </row>
    <row r="107" spans="1:16" x14ac:dyDescent="0.3">
      <c r="A107" t="s">
        <v>69</v>
      </c>
      <c r="B107" s="57" t="s">
        <v>70</v>
      </c>
      <c r="C107">
        <v>2025</v>
      </c>
      <c r="D107" t="s">
        <v>51</v>
      </c>
      <c r="E107" t="s">
        <v>196</v>
      </c>
      <c r="F107">
        <v>53</v>
      </c>
      <c r="G107" t="s">
        <v>193</v>
      </c>
      <c r="H107" t="b">
        <v>1</v>
      </c>
      <c r="I107">
        <v>1</v>
      </c>
      <c r="J107" t="s">
        <v>194</v>
      </c>
      <c r="K107" s="39" t="b">
        <v>1</v>
      </c>
      <c r="L107" t="s">
        <v>197</v>
      </c>
      <c r="P107">
        <v>7</v>
      </c>
    </row>
    <row r="108" spans="1:16" x14ac:dyDescent="0.3">
      <c r="A108" t="s">
        <v>69</v>
      </c>
      <c r="B108" s="57" t="s">
        <v>70</v>
      </c>
      <c r="C108">
        <v>2025</v>
      </c>
      <c r="D108" t="s">
        <v>52</v>
      </c>
      <c r="E108" t="s">
        <v>196</v>
      </c>
      <c r="F108">
        <v>39</v>
      </c>
      <c r="G108" t="s">
        <v>193</v>
      </c>
      <c r="H108" t="b">
        <v>1</v>
      </c>
      <c r="I108">
        <v>1</v>
      </c>
      <c r="J108" t="s">
        <v>194</v>
      </c>
      <c r="K108" s="39" t="b">
        <v>1</v>
      </c>
      <c r="L108" t="s">
        <v>197</v>
      </c>
      <c r="P108">
        <v>8</v>
      </c>
    </row>
    <row r="109" spans="1:16" x14ac:dyDescent="0.3">
      <c r="A109" t="s">
        <v>69</v>
      </c>
      <c r="B109" s="57" t="s">
        <v>70</v>
      </c>
      <c r="C109">
        <v>2025</v>
      </c>
      <c r="D109" t="s">
        <v>53</v>
      </c>
      <c r="E109" t="s">
        <v>196</v>
      </c>
      <c r="F109">
        <v>95</v>
      </c>
      <c r="G109" t="s">
        <v>193</v>
      </c>
      <c r="H109" t="b">
        <v>1</v>
      </c>
      <c r="I109">
        <v>1</v>
      </c>
      <c r="J109" t="s">
        <v>194</v>
      </c>
      <c r="K109" s="39" t="b">
        <v>1</v>
      </c>
      <c r="L109" t="s">
        <v>197</v>
      </c>
      <c r="P109">
        <v>9</v>
      </c>
    </row>
    <row r="110" spans="1:16" x14ac:dyDescent="0.3">
      <c r="A110" t="s">
        <v>69</v>
      </c>
      <c r="B110" s="57" t="s">
        <v>70</v>
      </c>
      <c r="C110">
        <v>2025</v>
      </c>
      <c r="D110" t="s">
        <v>54</v>
      </c>
      <c r="E110" t="s">
        <v>196</v>
      </c>
      <c r="F110">
        <v>22</v>
      </c>
      <c r="G110" t="s">
        <v>193</v>
      </c>
      <c r="H110" t="b">
        <v>1</v>
      </c>
      <c r="I110">
        <v>1</v>
      </c>
      <c r="J110" t="s">
        <v>194</v>
      </c>
      <c r="K110" s="39" t="b">
        <v>1</v>
      </c>
      <c r="L110" t="s">
        <v>197</v>
      </c>
      <c r="P110">
        <v>10</v>
      </c>
    </row>
    <row r="111" spans="1:16" x14ac:dyDescent="0.3">
      <c r="A111" t="s">
        <v>69</v>
      </c>
      <c r="B111" s="57" t="s">
        <v>70</v>
      </c>
      <c r="C111">
        <v>2025</v>
      </c>
      <c r="D111" t="s">
        <v>55</v>
      </c>
      <c r="E111" t="s">
        <v>196</v>
      </c>
      <c r="F111">
        <v>97</v>
      </c>
      <c r="G111" t="s">
        <v>193</v>
      </c>
      <c r="H111" t="b">
        <v>1</v>
      </c>
      <c r="I111">
        <v>1</v>
      </c>
      <c r="J111" t="s">
        <v>194</v>
      </c>
      <c r="K111" s="39" t="b">
        <v>1</v>
      </c>
      <c r="L111" t="s">
        <v>197</v>
      </c>
      <c r="P111">
        <v>11</v>
      </c>
    </row>
    <row r="112" spans="1:16" x14ac:dyDescent="0.3">
      <c r="A112" t="s">
        <v>69</v>
      </c>
      <c r="B112" s="57" t="s">
        <v>70</v>
      </c>
      <c r="C112">
        <v>2025</v>
      </c>
      <c r="D112" t="s">
        <v>56</v>
      </c>
      <c r="E112" t="s">
        <v>196</v>
      </c>
      <c r="F112">
        <v>15</v>
      </c>
      <c r="G112" t="s">
        <v>193</v>
      </c>
      <c r="H112" t="b">
        <v>1</v>
      </c>
      <c r="I112">
        <v>1</v>
      </c>
      <c r="J112" t="s">
        <v>194</v>
      </c>
      <c r="K112" s="39" t="b">
        <v>1</v>
      </c>
      <c r="L112" t="s">
        <v>197</v>
      </c>
      <c r="P112">
        <v>12</v>
      </c>
    </row>
    <row r="113" spans="1:16" x14ac:dyDescent="0.3">
      <c r="B113" s="57"/>
      <c r="K113" s="39"/>
    </row>
    <row r="114" spans="1:16" x14ac:dyDescent="0.3">
      <c r="A114" t="s">
        <v>69</v>
      </c>
      <c r="B114" s="57" t="s">
        <v>70</v>
      </c>
      <c r="C114">
        <v>2025</v>
      </c>
      <c r="D114" t="s">
        <v>2</v>
      </c>
      <c r="E114" t="s">
        <v>198</v>
      </c>
      <c r="F114">
        <v>87</v>
      </c>
      <c r="G114" t="s">
        <v>193</v>
      </c>
      <c r="H114" t="b">
        <v>1</v>
      </c>
      <c r="I114">
        <v>1</v>
      </c>
      <c r="J114" t="s">
        <v>194</v>
      </c>
      <c r="K114" s="39" t="b">
        <v>1</v>
      </c>
      <c r="L114" t="s">
        <v>199</v>
      </c>
      <c r="P114">
        <v>1</v>
      </c>
    </row>
    <row r="115" spans="1:16" x14ac:dyDescent="0.3">
      <c r="A115" t="s">
        <v>69</v>
      </c>
      <c r="B115" s="57" t="s">
        <v>70</v>
      </c>
      <c r="C115">
        <v>2025</v>
      </c>
      <c r="D115" t="s">
        <v>46</v>
      </c>
      <c r="E115" t="s">
        <v>198</v>
      </c>
      <c r="F115">
        <v>89</v>
      </c>
      <c r="G115" t="s">
        <v>193</v>
      </c>
      <c r="H115" t="b">
        <v>1</v>
      </c>
      <c r="I115">
        <v>1</v>
      </c>
      <c r="J115" t="s">
        <v>194</v>
      </c>
      <c r="K115" s="39" t="b">
        <v>1</v>
      </c>
      <c r="L115" t="s">
        <v>199</v>
      </c>
      <c r="P115">
        <v>2</v>
      </c>
    </row>
    <row r="116" spans="1:16" x14ac:dyDescent="0.3">
      <c r="A116" t="s">
        <v>69</v>
      </c>
      <c r="B116" s="57" t="s">
        <v>70</v>
      </c>
      <c r="C116">
        <v>2025</v>
      </c>
      <c r="D116" t="s">
        <v>47</v>
      </c>
      <c r="E116" t="s">
        <v>198</v>
      </c>
      <c r="F116">
        <v>99</v>
      </c>
      <c r="G116" t="s">
        <v>193</v>
      </c>
      <c r="H116" t="b">
        <v>1</v>
      </c>
      <c r="I116">
        <v>1</v>
      </c>
      <c r="J116" t="s">
        <v>194</v>
      </c>
      <c r="K116" s="39" t="b">
        <v>1</v>
      </c>
      <c r="L116" t="s">
        <v>199</v>
      </c>
      <c r="P116">
        <v>3</v>
      </c>
    </row>
    <row r="117" spans="1:16" x14ac:dyDescent="0.3">
      <c r="A117" t="s">
        <v>69</v>
      </c>
      <c r="B117" s="57" t="s">
        <v>70</v>
      </c>
      <c r="C117">
        <v>2025</v>
      </c>
      <c r="D117" t="s">
        <v>48</v>
      </c>
      <c r="E117" t="s">
        <v>198</v>
      </c>
      <c r="F117">
        <v>57</v>
      </c>
      <c r="G117" t="s">
        <v>193</v>
      </c>
      <c r="H117" t="b">
        <v>1</v>
      </c>
      <c r="I117">
        <v>1</v>
      </c>
      <c r="J117" t="s">
        <v>194</v>
      </c>
      <c r="K117" s="39" t="b">
        <v>1</v>
      </c>
      <c r="L117" t="s">
        <v>199</v>
      </c>
      <c r="P117">
        <v>4</v>
      </c>
    </row>
    <row r="118" spans="1:16" x14ac:dyDescent="0.3">
      <c r="A118" t="s">
        <v>69</v>
      </c>
      <c r="B118" s="57" t="s">
        <v>70</v>
      </c>
      <c r="C118">
        <v>2025</v>
      </c>
      <c r="D118" t="s">
        <v>49</v>
      </c>
      <c r="E118" t="s">
        <v>198</v>
      </c>
      <c r="F118">
        <v>92</v>
      </c>
      <c r="G118" t="s">
        <v>193</v>
      </c>
      <c r="H118" t="b">
        <v>1</v>
      </c>
      <c r="I118">
        <v>1</v>
      </c>
      <c r="J118" t="s">
        <v>194</v>
      </c>
      <c r="K118" s="39" t="b">
        <v>1</v>
      </c>
      <c r="L118" t="s">
        <v>199</v>
      </c>
      <c r="P118">
        <v>5</v>
      </c>
    </row>
    <row r="119" spans="1:16" x14ac:dyDescent="0.3">
      <c r="A119" t="s">
        <v>69</v>
      </c>
      <c r="B119" s="57" t="s">
        <v>70</v>
      </c>
      <c r="C119">
        <v>2025</v>
      </c>
      <c r="D119" t="s">
        <v>50</v>
      </c>
      <c r="E119" t="s">
        <v>198</v>
      </c>
      <c r="F119">
        <v>28</v>
      </c>
      <c r="G119" t="s">
        <v>193</v>
      </c>
      <c r="H119" t="b">
        <v>1</v>
      </c>
      <c r="I119">
        <v>1</v>
      </c>
      <c r="J119" t="s">
        <v>194</v>
      </c>
      <c r="K119" s="39" t="b">
        <v>1</v>
      </c>
      <c r="L119" t="s">
        <v>199</v>
      </c>
      <c r="P119">
        <v>6</v>
      </c>
    </row>
    <row r="120" spans="1:16" x14ac:dyDescent="0.3">
      <c r="A120" t="s">
        <v>69</v>
      </c>
      <c r="B120" s="57" t="s">
        <v>70</v>
      </c>
      <c r="C120">
        <v>2025</v>
      </c>
      <c r="D120" t="s">
        <v>51</v>
      </c>
      <c r="E120" t="s">
        <v>198</v>
      </c>
      <c r="F120">
        <v>38</v>
      </c>
      <c r="G120" t="s">
        <v>193</v>
      </c>
      <c r="H120" t="b">
        <v>1</v>
      </c>
      <c r="I120">
        <v>1</v>
      </c>
      <c r="J120" t="s">
        <v>194</v>
      </c>
      <c r="K120" s="39" t="b">
        <v>1</v>
      </c>
      <c r="L120" t="s">
        <v>199</v>
      </c>
      <c r="P120">
        <v>7</v>
      </c>
    </row>
    <row r="121" spans="1:16" x14ac:dyDescent="0.3">
      <c r="A121" t="s">
        <v>69</v>
      </c>
      <c r="B121" s="57" t="s">
        <v>70</v>
      </c>
      <c r="C121">
        <v>2025</v>
      </c>
      <c r="D121" t="s">
        <v>52</v>
      </c>
      <c r="E121" t="s">
        <v>198</v>
      </c>
      <c r="F121">
        <v>36</v>
      </c>
      <c r="G121" t="s">
        <v>193</v>
      </c>
      <c r="H121" t="b">
        <v>1</v>
      </c>
      <c r="I121">
        <v>1</v>
      </c>
      <c r="J121" t="s">
        <v>194</v>
      </c>
      <c r="K121" s="39" t="b">
        <v>1</v>
      </c>
      <c r="L121" t="s">
        <v>199</v>
      </c>
      <c r="P121">
        <v>8</v>
      </c>
    </row>
    <row r="122" spans="1:16" x14ac:dyDescent="0.3">
      <c r="A122" t="s">
        <v>69</v>
      </c>
      <c r="B122" s="57" t="s">
        <v>70</v>
      </c>
      <c r="C122">
        <v>2025</v>
      </c>
      <c r="D122" t="s">
        <v>53</v>
      </c>
      <c r="E122" t="s">
        <v>198</v>
      </c>
      <c r="F122">
        <v>56</v>
      </c>
      <c r="G122" t="s">
        <v>193</v>
      </c>
      <c r="H122" t="b">
        <v>1</v>
      </c>
      <c r="I122">
        <v>1</v>
      </c>
      <c r="J122" t="s">
        <v>194</v>
      </c>
      <c r="K122" s="39" t="b">
        <v>1</v>
      </c>
      <c r="L122" t="s">
        <v>199</v>
      </c>
      <c r="P122">
        <v>9</v>
      </c>
    </row>
    <row r="123" spans="1:16" x14ac:dyDescent="0.3">
      <c r="A123" t="s">
        <v>69</v>
      </c>
      <c r="B123" s="57" t="s">
        <v>70</v>
      </c>
      <c r="C123">
        <v>2025</v>
      </c>
      <c r="D123" t="s">
        <v>54</v>
      </c>
      <c r="E123" t="s">
        <v>198</v>
      </c>
      <c r="F123">
        <v>54</v>
      </c>
      <c r="G123" t="s">
        <v>193</v>
      </c>
      <c r="H123" t="b">
        <v>1</v>
      </c>
      <c r="I123">
        <v>1</v>
      </c>
      <c r="J123" t="s">
        <v>194</v>
      </c>
      <c r="K123" s="39" t="b">
        <v>1</v>
      </c>
      <c r="L123" t="s">
        <v>199</v>
      </c>
      <c r="P123">
        <v>10</v>
      </c>
    </row>
    <row r="124" spans="1:16" x14ac:dyDescent="0.3">
      <c r="A124" t="s">
        <v>69</v>
      </c>
      <c r="B124" s="57" t="s">
        <v>70</v>
      </c>
      <c r="C124">
        <v>2025</v>
      </c>
      <c r="D124" t="s">
        <v>55</v>
      </c>
      <c r="E124" t="s">
        <v>198</v>
      </c>
      <c r="F124">
        <v>20</v>
      </c>
      <c r="G124" t="s">
        <v>193</v>
      </c>
      <c r="H124" t="b">
        <v>1</v>
      </c>
      <c r="I124">
        <v>1</v>
      </c>
      <c r="J124" t="s">
        <v>194</v>
      </c>
      <c r="K124" s="39" t="b">
        <v>1</v>
      </c>
      <c r="L124" t="s">
        <v>199</v>
      </c>
      <c r="P124">
        <v>11</v>
      </c>
    </row>
    <row r="125" spans="1:16" x14ac:dyDescent="0.3">
      <c r="A125" t="s">
        <v>69</v>
      </c>
      <c r="B125" s="57" t="s">
        <v>70</v>
      </c>
      <c r="C125">
        <v>2025</v>
      </c>
      <c r="D125" t="s">
        <v>56</v>
      </c>
      <c r="E125" t="s">
        <v>198</v>
      </c>
      <c r="F125">
        <v>21</v>
      </c>
      <c r="G125" t="s">
        <v>193</v>
      </c>
      <c r="H125" t="b">
        <v>1</v>
      </c>
      <c r="I125">
        <v>1</v>
      </c>
      <c r="J125" t="s">
        <v>194</v>
      </c>
      <c r="K125" s="39" t="b">
        <v>1</v>
      </c>
      <c r="L125" t="s">
        <v>199</v>
      </c>
      <c r="P125">
        <v>12</v>
      </c>
    </row>
    <row r="126" spans="1:16" x14ac:dyDescent="0.3">
      <c r="B126" s="57"/>
      <c r="K126" s="39"/>
    </row>
    <row r="127" spans="1:16" x14ac:dyDescent="0.3">
      <c r="A127" t="s">
        <v>69</v>
      </c>
      <c r="B127" s="57" t="s">
        <v>70</v>
      </c>
      <c r="C127">
        <v>2025</v>
      </c>
      <c r="D127" t="s">
        <v>2</v>
      </c>
      <c r="E127" t="s">
        <v>200</v>
      </c>
      <c r="F127">
        <v>19</v>
      </c>
      <c r="G127" t="s">
        <v>193</v>
      </c>
      <c r="H127" t="b">
        <v>1</v>
      </c>
      <c r="I127">
        <v>1</v>
      </c>
      <c r="J127" t="s">
        <v>194</v>
      </c>
      <c r="K127" s="39" t="b">
        <v>1</v>
      </c>
      <c r="L127" t="s">
        <v>199</v>
      </c>
      <c r="P127">
        <v>1</v>
      </c>
    </row>
    <row r="128" spans="1:16" x14ac:dyDescent="0.3">
      <c r="A128" t="s">
        <v>69</v>
      </c>
      <c r="B128" s="57" t="s">
        <v>70</v>
      </c>
      <c r="C128">
        <v>2025</v>
      </c>
      <c r="D128" t="s">
        <v>46</v>
      </c>
      <c r="E128" t="s">
        <v>200</v>
      </c>
      <c r="F128">
        <v>50</v>
      </c>
      <c r="G128" t="s">
        <v>193</v>
      </c>
      <c r="H128" t="b">
        <v>1</v>
      </c>
      <c r="I128">
        <v>1</v>
      </c>
      <c r="J128" t="s">
        <v>194</v>
      </c>
      <c r="K128" s="39" t="b">
        <v>1</v>
      </c>
      <c r="L128" t="s">
        <v>199</v>
      </c>
      <c r="P128">
        <v>2</v>
      </c>
    </row>
    <row r="129" spans="1:16" x14ac:dyDescent="0.3">
      <c r="A129" t="s">
        <v>69</v>
      </c>
      <c r="B129" s="57" t="s">
        <v>70</v>
      </c>
      <c r="C129">
        <v>2025</v>
      </c>
      <c r="D129" t="s">
        <v>47</v>
      </c>
      <c r="E129" t="s">
        <v>200</v>
      </c>
      <c r="F129">
        <v>50</v>
      </c>
      <c r="G129" t="s">
        <v>193</v>
      </c>
      <c r="H129" t="b">
        <v>1</v>
      </c>
      <c r="I129">
        <v>1</v>
      </c>
      <c r="J129" t="s">
        <v>194</v>
      </c>
      <c r="K129" s="39" t="b">
        <v>1</v>
      </c>
      <c r="L129" t="s">
        <v>199</v>
      </c>
      <c r="P129">
        <v>3</v>
      </c>
    </row>
    <row r="130" spans="1:16" x14ac:dyDescent="0.3">
      <c r="A130" t="s">
        <v>69</v>
      </c>
      <c r="B130" s="57" t="s">
        <v>70</v>
      </c>
      <c r="C130">
        <v>2025</v>
      </c>
      <c r="D130" t="s">
        <v>48</v>
      </c>
      <c r="E130" t="s">
        <v>200</v>
      </c>
      <c r="F130">
        <v>98</v>
      </c>
      <c r="G130" t="s">
        <v>193</v>
      </c>
      <c r="H130" t="b">
        <v>1</v>
      </c>
      <c r="I130">
        <v>1</v>
      </c>
      <c r="J130" t="s">
        <v>194</v>
      </c>
      <c r="K130" s="39" t="b">
        <v>1</v>
      </c>
      <c r="L130" t="s">
        <v>199</v>
      </c>
      <c r="P130">
        <v>4</v>
      </c>
    </row>
    <row r="131" spans="1:16" x14ac:dyDescent="0.3">
      <c r="A131" t="s">
        <v>69</v>
      </c>
      <c r="B131" s="57" t="s">
        <v>70</v>
      </c>
      <c r="C131">
        <v>2025</v>
      </c>
      <c r="D131" t="s">
        <v>49</v>
      </c>
      <c r="E131" t="s">
        <v>200</v>
      </c>
      <c r="F131">
        <v>13</v>
      </c>
      <c r="G131" t="s">
        <v>193</v>
      </c>
      <c r="H131" t="b">
        <v>1</v>
      </c>
      <c r="I131">
        <v>1</v>
      </c>
      <c r="J131" t="s">
        <v>194</v>
      </c>
      <c r="K131" s="39" t="b">
        <v>1</v>
      </c>
      <c r="L131" t="s">
        <v>199</v>
      </c>
      <c r="P131">
        <v>5</v>
      </c>
    </row>
    <row r="132" spans="1:16" x14ac:dyDescent="0.3">
      <c r="A132" t="s">
        <v>69</v>
      </c>
      <c r="B132" s="57" t="s">
        <v>70</v>
      </c>
      <c r="C132">
        <v>2025</v>
      </c>
      <c r="D132" t="s">
        <v>50</v>
      </c>
      <c r="E132" t="s">
        <v>200</v>
      </c>
      <c r="F132">
        <v>50</v>
      </c>
      <c r="G132" t="s">
        <v>193</v>
      </c>
      <c r="H132" t="b">
        <v>1</v>
      </c>
      <c r="I132">
        <v>1</v>
      </c>
      <c r="J132" t="s">
        <v>194</v>
      </c>
      <c r="K132" s="39" t="b">
        <v>1</v>
      </c>
      <c r="L132" t="s">
        <v>199</v>
      </c>
      <c r="P132">
        <v>6</v>
      </c>
    </row>
    <row r="133" spans="1:16" x14ac:dyDescent="0.3">
      <c r="A133" t="s">
        <v>69</v>
      </c>
      <c r="B133" s="57" t="s">
        <v>70</v>
      </c>
      <c r="C133">
        <v>2025</v>
      </c>
      <c r="D133" t="s">
        <v>51</v>
      </c>
      <c r="E133" t="s">
        <v>200</v>
      </c>
      <c r="F133">
        <v>31</v>
      </c>
      <c r="G133" t="s">
        <v>193</v>
      </c>
      <c r="H133" t="b">
        <v>1</v>
      </c>
      <c r="I133">
        <v>1</v>
      </c>
      <c r="J133" t="s">
        <v>194</v>
      </c>
      <c r="K133" s="39" t="b">
        <v>1</v>
      </c>
      <c r="L133" t="s">
        <v>199</v>
      </c>
      <c r="P133">
        <v>7</v>
      </c>
    </row>
    <row r="134" spans="1:16" x14ac:dyDescent="0.3">
      <c r="A134" t="s">
        <v>69</v>
      </c>
      <c r="B134" s="57" t="s">
        <v>70</v>
      </c>
      <c r="C134">
        <v>2025</v>
      </c>
      <c r="D134" t="s">
        <v>52</v>
      </c>
      <c r="E134" t="s">
        <v>200</v>
      </c>
      <c r="F134">
        <v>93</v>
      </c>
      <c r="G134" t="s">
        <v>193</v>
      </c>
      <c r="H134" t="b">
        <v>1</v>
      </c>
      <c r="I134">
        <v>1</v>
      </c>
      <c r="J134" t="s">
        <v>194</v>
      </c>
      <c r="K134" s="39" t="b">
        <v>1</v>
      </c>
      <c r="L134" t="s">
        <v>199</v>
      </c>
      <c r="P134">
        <v>8</v>
      </c>
    </row>
    <row r="135" spans="1:16" x14ac:dyDescent="0.3">
      <c r="A135" t="s">
        <v>69</v>
      </c>
      <c r="B135" s="57" t="s">
        <v>70</v>
      </c>
      <c r="C135">
        <v>2025</v>
      </c>
      <c r="D135" t="s">
        <v>53</v>
      </c>
      <c r="E135" t="s">
        <v>200</v>
      </c>
      <c r="F135">
        <v>87</v>
      </c>
      <c r="G135" t="s">
        <v>193</v>
      </c>
      <c r="H135" t="b">
        <v>1</v>
      </c>
      <c r="I135">
        <v>1</v>
      </c>
      <c r="J135" t="s">
        <v>194</v>
      </c>
      <c r="K135" s="39" t="b">
        <v>1</v>
      </c>
      <c r="L135" t="s">
        <v>199</v>
      </c>
      <c r="P135">
        <v>9</v>
      </c>
    </row>
    <row r="136" spans="1:16" x14ac:dyDescent="0.3">
      <c r="A136" t="s">
        <v>69</v>
      </c>
      <c r="B136" s="57" t="s">
        <v>70</v>
      </c>
      <c r="C136">
        <v>2025</v>
      </c>
      <c r="D136" t="s">
        <v>54</v>
      </c>
      <c r="E136" t="s">
        <v>200</v>
      </c>
      <c r="F136">
        <v>57</v>
      </c>
      <c r="G136" t="s">
        <v>193</v>
      </c>
      <c r="H136" t="b">
        <v>1</v>
      </c>
      <c r="I136">
        <v>1</v>
      </c>
      <c r="J136" t="s">
        <v>194</v>
      </c>
      <c r="K136" s="39" t="b">
        <v>1</v>
      </c>
      <c r="L136" t="s">
        <v>199</v>
      </c>
      <c r="P136">
        <v>10</v>
      </c>
    </row>
    <row r="137" spans="1:16" x14ac:dyDescent="0.3">
      <c r="A137" t="s">
        <v>69</v>
      </c>
      <c r="B137" s="57" t="s">
        <v>70</v>
      </c>
      <c r="C137">
        <v>2025</v>
      </c>
      <c r="D137" t="s">
        <v>55</v>
      </c>
      <c r="E137" t="s">
        <v>200</v>
      </c>
      <c r="F137">
        <v>80</v>
      </c>
      <c r="G137" t="s">
        <v>193</v>
      </c>
      <c r="H137" t="b">
        <v>1</v>
      </c>
      <c r="I137">
        <v>1</v>
      </c>
      <c r="J137" t="s">
        <v>194</v>
      </c>
      <c r="K137" s="39" t="b">
        <v>1</v>
      </c>
      <c r="L137" t="s">
        <v>199</v>
      </c>
      <c r="P137">
        <v>11</v>
      </c>
    </row>
    <row r="138" spans="1:16" x14ac:dyDescent="0.3">
      <c r="A138" t="s">
        <v>69</v>
      </c>
      <c r="B138" s="57" t="s">
        <v>70</v>
      </c>
      <c r="C138">
        <v>2025</v>
      </c>
      <c r="D138" t="s">
        <v>56</v>
      </c>
      <c r="E138" t="s">
        <v>200</v>
      </c>
      <c r="F138">
        <v>14</v>
      </c>
      <c r="G138" t="s">
        <v>193</v>
      </c>
      <c r="H138" t="b">
        <v>1</v>
      </c>
      <c r="I138">
        <v>1</v>
      </c>
      <c r="J138" t="s">
        <v>194</v>
      </c>
      <c r="K138" s="39" t="b">
        <v>1</v>
      </c>
      <c r="L138" t="s">
        <v>199</v>
      </c>
      <c r="P138">
        <v>12</v>
      </c>
    </row>
    <row r="141" spans="1:16" x14ac:dyDescent="0.3">
      <c r="A141" t="s">
        <v>0</v>
      </c>
      <c r="B141" s="25" t="s">
        <v>1</v>
      </c>
      <c r="C141">
        <v>2025</v>
      </c>
      <c r="D141" t="s">
        <v>2</v>
      </c>
      <c r="E141" t="s">
        <v>202</v>
      </c>
      <c r="F141">
        <v>94</v>
      </c>
      <c r="G141" t="s">
        <v>193</v>
      </c>
      <c r="H141" t="b">
        <v>1</v>
      </c>
      <c r="I141">
        <v>1</v>
      </c>
      <c r="J141" t="s">
        <v>194</v>
      </c>
      <c r="K141" s="40" t="b">
        <v>0</v>
      </c>
      <c r="L141" t="s">
        <v>203</v>
      </c>
      <c r="P141">
        <v>1</v>
      </c>
    </row>
    <row r="142" spans="1:16" x14ac:dyDescent="0.3">
      <c r="A142" t="s">
        <v>0</v>
      </c>
      <c r="B142" s="25" t="s">
        <v>1</v>
      </c>
      <c r="C142">
        <v>2025</v>
      </c>
      <c r="D142" t="s">
        <v>46</v>
      </c>
      <c r="E142" t="s">
        <v>202</v>
      </c>
      <c r="F142">
        <v>88</v>
      </c>
      <c r="G142" t="s">
        <v>193</v>
      </c>
      <c r="H142" t="b">
        <v>1</v>
      </c>
      <c r="I142">
        <v>1</v>
      </c>
      <c r="J142" t="s">
        <v>194</v>
      </c>
      <c r="K142" s="40" t="b">
        <v>0</v>
      </c>
      <c r="L142" t="s">
        <v>203</v>
      </c>
      <c r="P142">
        <v>2</v>
      </c>
    </row>
    <row r="143" spans="1:16" x14ac:dyDescent="0.3">
      <c r="A143" t="s">
        <v>0</v>
      </c>
      <c r="B143" s="25" t="s">
        <v>1</v>
      </c>
      <c r="C143">
        <v>2025</v>
      </c>
      <c r="D143" t="s">
        <v>47</v>
      </c>
      <c r="E143" t="s">
        <v>202</v>
      </c>
      <c r="F143">
        <v>62</v>
      </c>
      <c r="G143" t="s">
        <v>193</v>
      </c>
      <c r="H143" t="b">
        <v>1</v>
      </c>
      <c r="I143">
        <v>1</v>
      </c>
      <c r="J143" t="s">
        <v>194</v>
      </c>
      <c r="K143" s="40" t="b">
        <v>0</v>
      </c>
      <c r="L143" t="s">
        <v>203</v>
      </c>
      <c r="P143">
        <v>3</v>
      </c>
    </row>
    <row r="144" spans="1:16" x14ac:dyDescent="0.3">
      <c r="A144" t="s">
        <v>0</v>
      </c>
      <c r="B144" s="25" t="s">
        <v>1</v>
      </c>
      <c r="C144">
        <v>2025</v>
      </c>
      <c r="D144" t="s">
        <v>48</v>
      </c>
      <c r="E144" t="s">
        <v>202</v>
      </c>
      <c r="F144">
        <v>116</v>
      </c>
      <c r="G144" t="s">
        <v>193</v>
      </c>
      <c r="H144" t="b">
        <v>1</v>
      </c>
      <c r="I144">
        <v>1</v>
      </c>
      <c r="J144" t="s">
        <v>194</v>
      </c>
      <c r="K144" s="40" t="b">
        <v>0</v>
      </c>
      <c r="L144" t="s">
        <v>203</v>
      </c>
      <c r="P144">
        <v>4</v>
      </c>
    </row>
    <row r="145" spans="1:16" x14ac:dyDescent="0.3">
      <c r="A145" t="s">
        <v>0</v>
      </c>
      <c r="B145" s="25" t="s">
        <v>1</v>
      </c>
      <c r="C145">
        <v>2025</v>
      </c>
      <c r="D145" t="s">
        <v>49</v>
      </c>
      <c r="E145" t="s">
        <v>202</v>
      </c>
      <c r="F145">
        <v>62</v>
      </c>
      <c r="G145" t="s">
        <v>193</v>
      </c>
      <c r="H145" t="b">
        <v>1</v>
      </c>
      <c r="I145">
        <v>1</v>
      </c>
      <c r="J145" t="s">
        <v>194</v>
      </c>
      <c r="K145" s="40" t="b">
        <v>0</v>
      </c>
      <c r="L145" t="s">
        <v>203</v>
      </c>
      <c r="P145">
        <v>5</v>
      </c>
    </row>
    <row r="146" spans="1:16" x14ac:dyDescent="0.3">
      <c r="A146" t="s">
        <v>0</v>
      </c>
      <c r="B146" s="25" t="s">
        <v>1</v>
      </c>
      <c r="C146">
        <v>2025</v>
      </c>
      <c r="D146" t="s">
        <v>50</v>
      </c>
      <c r="E146" t="s">
        <v>202</v>
      </c>
      <c r="F146">
        <v>43</v>
      </c>
      <c r="G146" t="s">
        <v>193</v>
      </c>
      <c r="H146" t="b">
        <v>1</v>
      </c>
      <c r="I146">
        <v>1</v>
      </c>
      <c r="J146" t="s">
        <v>194</v>
      </c>
      <c r="K146" s="40" t="b">
        <v>0</v>
      </c>
      <c r="L146" t="s">
        <v>203</v>
      </c>
      <c r="P146">
        <v>6</v>
      </c>
    </row>
    <row r="147" spans="1:16" x14ac:dyDescent="0.3">
      <c r="A147" t="s">
        <v>0</v>
      </c>
      <c r="B147" s="25" t="s">
        <v>1</v>
      </c>
      <c r="C147">
        <v>2025</v>
      </c>
      <c r="D147" t="s">
        <v>51</v>
      </c>
      <c r="E147" t="s">
        <v>202</v>
      </c>
      <c r="F147">
        <v>114</v>
      </c>
      <c r="G147" t="s">
        <v>193</v>
      </c>
      <c r="H147" t="b">
        <v>1</v>
      </c>
      <c r="I147">
        <v>1</v>
      </c>
      <c r="J147" t="s">
        <v>194</v>
      </c>
      <c r="K147" s="40" t="b">
        <v>0</v>
      </c>
      <c r="L147" t="s">
        <v>203</v>
      </c>
      <c r="P147">
        <v>7</v>
      </c>
    </row>
    <row r="148" spans="1:16" x14ac:dyDescent="0.3">
      <c r="A148" t="s">
        <v>0</v>
      </c>
      <c r="B148" s="25" t="s">
        <v>1</v>
      </c>
      <c r="C148">
        <v>2025</v>
      </c>
      <c r="D148" t="s">
        <v>52</v>
      </c>
      <c r="E148" t="s">
        <v>202</v>
      </c>
      <c r="F148">
        <v>72</v>
      </c>
      <c r="G148" t="s">
        <v>193</v>
      </c>
      <c r="H148" t="b">
        <v>1</v>
      </c>
      <c r="I148">
        <v>1</v>
      </c>
      <c r="J148" t="s">
        <v>194</v>
      </c>
      <c r="K148" s="40" t="b">
        <v>0</v>
      </c>
      <c r="L148" t="s">
        <v>203</v>
      </c>
      <c r="P148">
        <v>8</v>
      </c>
    </row>
    <row r="149" spans="1:16" x14ac:dyDescent="0.3">
      <c r="A149" t="s">
        <v>0</v>
      </c>
      <c r="B149" s="25" t="s">
        <v>1</v>
      </c>
      <c r="C149">
        <v>2025</v>
      </c>
      <c r="D149" t="s">
        <v>53</v>
      </c>
      <c r="E149" t="s">
        <v>202</v>
      </c>
      <c r="F149">
        <v>88</v>
      </c>
      <c r="G149" t="s">
        <v>193</v>
      </c>
      <c r="H149" t="b">
        <v>1</v>
      </c>
      <c r="I149">
        <v>1</v>
      </c>
      <c r="J149" t="s">
        <v>194</v>
      </c>
      <c r="K149" s="40" t="b">
        <v>0</v>
      </c>
      <c r="L149" t="s">
        <v>203</v>
      </c>
      <c r="P149">
        <v>9</v>
      </c>
    </row>
    <row r="150" spans="1:16" x14ac:dyDescent="0.3">
      <c r="A150" t="s">
        <v>0</v>
      </c>
      <c r="B150" s="25" t="s">
        <v>1</v>
      </c>
      <c r="C150">
        <v>2025</v>
      </c>
      <c r="D150" t="s">
        <v>54</v>
      </c>
      <c r="E150" t="s">
        <v>202</v>
      </c>
      <c r="F150">
        <v>103</v>
      </c>
      <c r="G150" t="s">
        <v>193</v>
      </c>
      <c r="H150" t="b">
        <v>1</v>
      </c>
      <c r="I150">
        <v>1</v>
      </c>
      <c r="J150" t="s">
        <v>194</v>
      </c>
      <c r="K150" s="40" t="b">
        <v>0</v>
      </c>
      <c r="L150" t="s">
        <v>203</v>
      </c>
      <c r="P150">
        <v>10</v>
      </c>
    </row>
    <row r="151" spans="1:16" x14ac:dyDescent="0.3">
      <c r="A151" t="s">
        <v>0</v>
      </c>
      <c r="B151" s="25" t="s">
        <v>1</v>
      </c>
      <c r="C151">
        <v>2025</v>
      </c>
      <c r="D151" t="s">
        <v>55</v>
      </c>
      <c r="E151" t="s">
        <v>202</v>
      </c>
      <c r="F151">
        <v>104</v>
      </c>
      <c r="G151" t="s">
        <v>193</v>
      </c>
      <c r="H151" t="b">
        <v>1</v>
      </c>
      <c r="I151">
        <v>1</v>
      </c>
      <c r="J151" t="s">
        <v>194</v>
      </c>
      <c r="K151" s="40" t="b">
        <v>0</v>
      </c>
      <c r="L151" t="s">
        <v>203</v>
      </c>
      <c r="P151">
        <v>11</v>
      </c>
    </row>
    <row r="152" spans="1:16" x14ac:dyDescent="0.3">
      <c r="A152" t="s">
        <v>0</v>
      </c>
      <c r="B152" s="25" t="s">
        <v>1</v>
      </c>
      <c r="C152">
        <v>2025</v>
      </c>
      <c r="D152" t="s">
        <v>56</v>
      </c>
      <c r="E152" t="s">
        <v>202</v>
      </c>
      <c r="F152">
        <v>111</v>
      </c>
      <c r="G152" t="s">
        <v>193</v>
      </c>
      <c r="H152" t="b">
        <v>1</v>
      </c>
      <c r="I152">
        <v>1</v>
      </c>
      <c r="J152" t="s">
        <v>194</v>
      </c>
      <c r="K152" s="40" t="b">
        <v>0</v>
      </c>
      <c r="L152" t="s">
        <v>203</v>
      </c>
      <c r="P152">
        <v>12</v>
      </c>
    </row>
    <row r="153" spans="1:16" x14ac:dyDescent="0.3">
      <c r="B153" s="25"/>
      <c r="K153" s="40"/>
    </row>
    <row r="154" spans="1:16" x14ac:dyDescent="0.3">
      <c r="A154" t="s">
        <v>0</v>
      </c>
      <c r="B154" s="25" t="s">
        <v>1</v>
      </c>
      <c r="C154">
        <v>2025</v>
      </c>
      <c r="D154" t="s">
        <v>2</v>
      </c>
      <c r="E154" t="s">
        <v>204</v>
      </c>
      <c r="F154">
        <v>37</v>
      </c>
      <c r="G154" t="s">
        <v>193</v>
      </c>
      <c r="H154" t="b">
        <v>1</v>
      </c>
      <c r="I154">
        <v>1</v>
      </c>
      <c r="J154" t="s">
        <v>194</v>
      </c>
      <c r="K154" s="40" t="b">
        <v>0</v>
      </c>
      <c r="L154" t="s">
        <v>203</v>
      </c>
      <c r="P154">
        <v>1</v>
      </c>
    </row>
    <row r="155" spans="1:16" x14ac:dyDescent="0.3">
      <c r="A155" t="s">
        <v>0</v>
      </c>
      <c r="B155" s="25" t="s">
        <v>1</v>
      </c>
      <c r="C155">
        <v>2025</v>
      </c>
      <c r="D155" t="s">
        <v>46</v>
      </c>
      <c r="E155" t="s">
        <v>204</v>
      </c>
      <c r="F155">
        <v>68</v>
      </c>
      <c r="G155" t="s">
        <v>193</v>
      </c>
      <c r="H155" t="b">
        <v>1</v>
      </c>
      <c r="I155">
        <v>1</v>
      </c>
      <c r="J155" t="s">
        <v>194</v>
      </c>
      <c r="K155" s="40" t="b">
        <v>0</v>
      </c>
      <c r="L155" t="s">
        <v>203</v>
      </c>
      <c r="P155">
        <v>2</v>
      </c>
    </row>
    <row r="156" spans="1:16" x14ac:dyDescent="0.3">
      <c r="A156" t="s">
        <v>0</v>
      </c>
      <c r="B156" s="25" t="s">
        <v>1</v>
      </c>
      <c r="C156">
        <v>2025</v>
      </c>
      <c r="D156" t="s">
        <v>47</v>
      </c>
      <c r="E156" t="s">
        <v>204</v>
      </c>
      <c r="F156">
        <v>40</v>
      </c>
      <c r="G156" t="s">
        <v>193</v>
      </c>
      <c r="H156" t="b">
        <v>1</v>
      </c>
      <c r="I156">
        <v>1</v>
      </c>
      <c r="J156" t="s">
        <v>194</v>
      </c>
      <c r="K156" s="40" t="b">
        <v>0</v>
      </c>
      <c r="L156" t="s">
        <v>205</v>
      </c>
      <c r="P156">
        <v>3</v>
      </c>
    </row>
    <row r="157" spans="1:16" x14ac:dyDescent="0.3">
      <c r="A157" t="s">
        <v>0</v>
      </c>
      <c r="B157" s="25" t="s">
        <v>1</v>
      </c>
      <c r="C157">
        <v>2025</v>
      </c>
      <c r="D157" t="s">
        <v>48</v>
      </c>
      <c r="E157" t="s">
        <v>204</v>
      </c>
      <c r="F157">
        <v>86</v>
      </c>
      <c r="G157" t="s">
        <v>193</v>
      </c>
      <c r="H157" t="b">
        <v>1</v>
      </c>
      <c r="I157">
        <v>1</v>
      </c>
      <c r="J157" t="s">
        <v>194</v>
      </c>
      <c r="K157" s="40" t="b">
        <v>0</v>
      </c>
      <c r="L157" t="s">
        <v>203</v>
      </c>
      <c r="P157">
        <v>4</v>
      </c>
    </row>
    <row r="158" spans="1:16" x14ac:dyDescent="0.3">
      <c r="A158" t="s">
        <v>0</v>
      </c>
      <c r="B158" s="25" t="s">
        <v>1</v>
      </c>
      <c r="C158">
        <v>2025</v>
      </c>
      <c r="D158" t="s">
        <v>49</v>
      </c>
      <c r="E158" t="s">
        <v>204</v>
      </c>
      <c r="F158">
        <v>33</v>
      </c>
      <c r="G158" t="s">
        <v>193</v>
      </c>
      <c r="H158" t="b">
        <v>1</v>
      </c>
      <c r="I158">
        <v>1</v>
      </c>
      <c r="J158" t="s">
        <v>194</v>
      </c>
      <c r="K158" s="40" t="b">
        <v>0</v>
      </c>
      <c r="L158" t="s">
        <v>203</v>
      </c>
      <c r="P158">
        <v>5</v>
      </c>
    </row>
    <row r="159" spans="1:16" x14ac:dyDescent="0.3">
      <c r="A159" t="s">
        <v>0</v>
      </c>
      <c r="B159" s="25" t="s">
        <v>1</v>
      </c>
      <c r="C159">
        <v>2025</v>
      </c>
      <c r="D159" t="s">
        <v>50</v>
      </c>
      <c r="E159" t="s">
        <v>204</v>
      </c>
      <c r="F159">
        <v>119</v>
      </c>
      <c r="G159" t="s">
        <v>193</v>
      </c>
      <c r="H159" t="b">
        <v>1</v>
      </c>
      <c r="I159">
        <v>1</v>
      </c>
      <c r="J159" t="s">
        <v>194</v>
      </c>
      <c r="K159" s="40" t="b">
        <v>0</v>
      </c>
      <c r="L159" t="s">
        <v>203</v>
      </c>
      <c r="P159">
        <v>6</v>
      </c>
    </row>
    <row r="160" spans="1:16" x14ac:dyDescent="0.3">
      <c r="A160" t="s">
        <v>0</v>
      </c>
      <c r="B160" s="25" t="s">
        <v>1</v>
      </c>
      <c r="C160">
        <v>2025</v>
      </c>
      <c r="D160" t="s">
        <v>51</v>
      </c>
      <c r="E160" t="s">
        <v>204</v>
      </c>
      <c r="F160">
        <v>111</v>
      </c>
      <c r="G160" t="s">
        <v>193</v>
      </c>
      <c r="H160" t="b">
        <v>1</v>
      </c>
      <c r="I160">
        <v>1</v>
      </c>
      <c r="J160" t="s">
        <v>194</v>
      </c>
      <c r="K160" s="40" t="b">
        <v>0</v>
      </c>
      <c r="L160" t="s">
        <v>203</v>
      </c>
      <c r="P160">
        <v>7</v>
      </c>
    </row>
    <row r="161" spans="1:16" x14ac:dyDescent="0.3">
      <c r="A161" t="s">
        <v>0</v>
      </c>
      <c r="B161" s="25" t="s">
        <v>1</v>
      </c>
      <c r="C161">
        <v>2025</v>
      </c>
      <c r="D161" t="s">
        <v>52</v>
      </c>
      <c r="E161" t="s">
        <v>204</v>
      </c>
      <c r="F161">
        <v>38</v>
      </c>
      <c r="G161" t="s">
        <v>193</v>
      </c>
      <c r="H161" t="b">
        <v>1</v>
      </c>
      <c r="I161">
        <v>1</v>
      </c>
      <c r="J161" t="s">
        <v>194</v>
      </c>
      <c r="K161" s="40" t="b">
        <v>0</v>
      </c>
      <c r="L161" t="s">
        <v>203</v>
      </c>
      <c r="P161">
        <v>8</v>
      </c>
    </row>
    <row r="162" spans="1:16" x14ac:dyDescent="0.3">
      <c r="A162" t="s">
        <v>0</v>
      </c>
      <c r="B162" s="25" t="s">
        <v>1</v>
      </c>
      <c r="C162">
        <v>2025</v>
      </c>
      <c r="D162" t="s">
        <v>53</v>
      </c>
      <c r="E162" t="s">
        <v>204</v>
      </c>
      <c r="F162">
        <v>108</v>
      </c>
      <c r="G162" t="s">
        <v>193</v>
      </c>
      <c r="H162" t="b">
        <v>1</v>
      </c>
      <c r="I162">
        <v>1</v>
      </c>
      <c r="J162" t="s">
        <v>194</v>
      </c>
      <c r="K162" s="40" t="b">
        <v>0</v>
      </c>
      <c r="L162" t="s">
        <v>203</v>
      </c>
      <c r="P162">
        <v>9</v>
      </c>
    </row>
    <row r="163" spans="1:16" x14ac:dyDescent="0.3">
      <c r="A163" t="s">
        <v>0</v>
      </c>
      <c r="B163" s="25" t="s">
        <v>1</v>
      </c>
      <c r="C163">
        <v>2025</v>
      </c>
      <c r="D163" t="s">
        <v>54</v>
      </c>
      <c r="E163" t="s">
        <v>204</v>
      </c>
      <c r="F163">
        <v>61</v>
      </c>
      <c r="G163" t="s">
        <v>193</v>
      </c>
      <c r="H163" t="b">
        <v>1</v>
      </c>
      <c r="I163">
        <v>1</v>
      </c>
      <c r="J163" t="s">
        <v>194</v>
      </c>
      <c r="K163" s="40" t="b">
        <v>0</v>
      </c>
      <c r="L163" t="s">
        <v>203</v>
      </c>
      <c r="P163">
        <v>10</v>
      </c>
    </row>
    <row r="164" spans="1:16" x14ac:dyDescent="0.3">
      <c r="A164" t="s">
        <v>0</v>
      </c>
      <c r="B164" s="25" t="s">
        <v>1</v>
      </c>
      <c r="C164">
        <v>2025</v>
      </c>
      <c r="D164" t="s">
        <v>55</v>
      </c>
      <c r="E164" t="s">
        <v>204</v>
      </c>
      <c r="F164">
        <v>35</v>
      </c>
      <c r="G164" t="s">
        <v>193</v>
      </c>
      <c r="H164" t="b">
        <v>1</v>
      </c>
      <c r="I164">
        <v>1</v>
      </c>
      <c r="J164" t="s">
        <v>194</v>
      </c>
      <c r="K164" s="40" t="b">
        <v>0</v>
      </c>
      <c r="L164" t="s">
        <v>203</v>
      </c>
      <c r="P164">
        <v>11</v>
      </c>
    </row>
    <row r="165" spans="1:16" x14ac:dyDescent="0.3">
      <c r="A165" t="s">
        <v>0</v>
      </c>
      <c r="B165" s="25" t="s">
        <v>1</v>
      </c>
      <c r="C165">
        <v>2025</v>
      </c>
      <c r="D165" t="s">
        <v>56</v>
      </c>
      <c r="E165" t="s">
        <v>204</v>
      </c>
      <c r="F165">
        <v>71</v>
      </c>
      <c r="G165" t="s">
        <v>193</v>
      </c>
      <c r="H165" t="b">
        <v>1</v>
      </c>
      <c r="I165">
        <v>1</v>
      </c>
      <c r="J165" t="s">
        <v>194</v>
      </c>
      <c r="K165" s="40" t="b">
        <v>0</v>
      </c>
      <c r="L165" t="s">
        <v>203</v>
      </c>
      <c r="P165">
        <v>12</v>
      </c>
    </row>
    <row r="166" spans="1:16" x14ac:dyDescent="0.3">
      <c r="B166" s="25"/>
      <c r="K166" s="40"/>
    </row>
    <row r="167" spans="1:16" x14ac:dyDescent="0.3">
      <c r="A167" t="s">
        <v>0</v>
      </c>
      <c r="B167" s="25" t="s">
        <v>1</v>
      </c>
      <c r="C167">
        <v>2025</v>
      </c>
      <c r="D167" t="s">
        <v>2</v>
      </c>
      <c r="E167" t="s">
        <v>206</v>
      </c>
      <c r="F167">
        <v>60</v>
      </c>
      <c r="G167" t="s">
        <v>193</v>
      </c>
      <c r="H167" t="b">
        <v>1</v>
      </c>
      <c r="I167">
        <v>1</v>
      </c>
      <c r="J167" t="s">
        <v>194</v>
      </c>
      <c r="K167" s="40" t="b">
        <v>0</v>
      </c>
      <c r="L167" t="s">
        <v>207</v>
      </c>
      <c r="P167">
        <v>1</v>
      </c>
    </row>
    <row r="168" spans="1:16" x14ac:dyDescent="0.3">
      <c r="A168" t="s">
        <v>0</v>
      </c>
      <c r="B168" s="25" t="s">
        <v>1</v>
      </c>
      <c r="C168">
        <v>2025</v>
      </c>
      <c r="D168" t="s">
        <v>46</v>
      </c>
      <c r="E168" t="s">
        <v>206</v>
      </c>
      <c r="F168">
        <v>91</v>
      </c>
      <c r="G168" t="s">
        <v>193</v>
      </c>
      <c r="H168" t="b">
        <v>1</v>
      </c>
      <c r="I168">
        <v>1</v>
      </c>
      <c r="J168" t="s">
        <v>194</v>
      </c>
      <c r="K168" s="40" t="b">
        <v>0</v>
      </c>
      <c r="L168" t="s">
        <v>207</v>
      </c>
      <c r="P168">
        <v>2</v>
      </c>
    </row>
    <row r="169" spans="1:16" x14ac:dyDescent="0.3">
      <c r="A169" t="s">
        <v>0</v>
      </c>
      <c r="B169" s="25" t="s">
        <v>1</v>
      </c>
      <c r="C169">
        <v>2025</v>
      </c>
      <c r="D169" t="s">
        <v>47</v>
      </c>
      <c r="E169" t="s">
        <v>206</v>
      </c>
      <c r="F169">
        <v>34</v>
      </c>
      <c r="G169" t="s">
        <v>193</v>
      </c>
      <c r="H169" t="b">
        <v>1</v>
      </c>
      <c r="I169">
        <v>1</v>
      </c>
      <c r="J169" t="s">
        <v>194</v>
      </c>
      <c r="K169" s="40" t="b">
        <v>0</v>
      </c>
      <c r="L169" t="s">
        <v>207</v>
      </c>
      <c r="P169">
        <v>3</v>
      </c>
    </row>
    <row r="170" spans="1:16" x14ac:dyDescent="0.3">
      <c r="A170" t="s">
        <v>0</v>
      </c>
      <c r="B170" s="25" t="s">
        <v>1</v>
      </c>
      <c r="C170">
        <v>2025</v>
      </c>
      <c r="D170" t="s">
        <v>48</v>
      </c>
      <c r="E170" t="s">
        <v>206</v>
      </c>
      <c r="F170">
        <v>93</v>
      </c>
      <c r="G170" t="s">
        <v>193</v>
      </c>
      <c r="H170" t="b">
        <v>1</v>
      </c>
      <c r="I170">
        <v>1</v>
      </c>
      <c r="J170" t="s">
        <v>194</v>
      </c>
      <c r="K170" s="40" t="b">
        <v>0</v>
      </c>
      <c r="L170" t="s">
        <v>207</v>
      </c>
      <c r="P170">
        <v>4</v>
      </c>
    </row>
    <row r="171" spans="1:16" x14ac:dyDescent="0.3">
      <c r="A171" t="s">
        <v>0</v>
      </c>
      <c r="B171" s="25" t="s">
        <v>1</v>
      </c>
      <c r="C171">
        <v>2025</v>
      </c>
      <c r="D171" t="s">
        <v>49</v>
      </c>
      <c r="E171" t="s">
        <v>206</v>
      </c>
      <c r="F171">
        <v>45</v>
      </c>
      <c r="G171" t="s">
        <v>193</v>
      </c>
      <c r="H171" t="b">
        <v>1</v>
      </c>
      <c r="I171">
        <v>1</v>
      </c>
      <c r="J171" t="s">
        <v>194</v>
      </c>
      <c r="K171" s="40" t="b">
        <v>0</v>
      </c>
      <c r="L171" t="s">
        <v>207</v>
      </c>
      <c r="P171">
        <v>5</v>
      </c>
    </row>
    <row r="172" spans="1:16" x14ac:dyDescent="0.3">
      <c r="A172" t="s">
        <v>0</v>
      </c>
      <c r="B172" s="25" t="s">
        <v>1</v>
      </c>
      <c r="C172">
        <v>2025</v>
      </c>
      <c r="D172" t="s">
        <v>50</v>
      </c>
      <c r="E172" t="s">
        <v>206</v>
      </c>
      <c r="F172">
        <v>91</v>
      </c>
      <c r="G172" t="s">
        <v>193</v>
      </c>
      <c r="H172" t="b">
        <v>1</v>
      </c>
      <c r="I172">
        <v>1</v>
      </c>
      <c r="J172" t="s">
        <v>194</v>
      </c>
      <c r="K172" s="40" t="b">
        <v>0</v>
      </c>
      <c r="L172" t="s">
        <v>207</v>
      </c>
      <c r="P172">
        <v>6</v>
      </c>
    </row>
    <row r="173" spans="1:16" x14ac:dyDescent="0.3">
      <c r="A173" t="s">
        <v>0</v>
      </c>
      <c r="B173" s="25" t="s">
        <v>1</v>
      </c>
      <c r="C173">
        <v>2025</v>
      </c>
      <c r="D173" t="s">
        <v>51</v>
      </c>
      <c r="E173" t="s">
        <v>206</v>
      </c>
      <c r="F173">
        <v>29</v>
      </c>
      <c r="G173" t="s">
        <v>193</v>
      </c>
      <c r="H173" t="b">
        <v>1</v>
      </c>
      <c r="I173">
        <v>1</v>
      </c>
      <c r="J173" t="s">
        <v>194</v>
      </c>
      <c r="K173" s="40" t="b">
        <v>0</v>
      </c>
      <c r="L173" t="s">
        <v>207</v>
      </c>
      <c r="P173">
        <v>7</v>
      </c>
    </row>
    <row r="174" spans="1:16" x14ac:dyDescent="0.3">
      <c r="A174" t="s">
        <v>0</v>
      </c>
      <c r="B174" s="25" t="s">
        <v>1</v>
      </c>
      <c r="C174">
        <v>2025</v>
      </c>
      <c r="D174" t="s">
        <v>52</v>
      </c>
      <c r="E174" t="s">
        <v>206</v>
      </c>
      <c r="F174">
        <v>117</v>
      </c>
      <c r="G174" t="s">
        <v>193</v>
      </c>
      <c r="H174" t="b">
        <v>1</v>
      </c>
      <c r="I174">
        <v>1</v>
      </c>
      <c r="J174" t="s">
        <v>194</v>
      </c>
      <c r="K174" s="40" t="b">
        <v>0</v>
      </c>
      <c r="L174" t="s">
        <v>207</v>
      </c>
      <c r="P174">
        <v>8</v>
      </c>
    </row>
    <row r="175" spans="1:16" x14ac:dyDescent="0.3">
      <c r="A175" t="s">
        <v>0</v>
      </c>
      <c r="B175" s="25" t="s">
        <v>1</v>
      </c>
      <c r="C175">
        <v>2025</v>
      </c>
      <c r="D175" t="s">
        <v>53</v>
      </c>
      <c r="E175" t="s">
        <v>206</v>
      </c>
      <c r="F175">
        <v>38</v>
      </c>
      <c r="G175" t="s">
        <v>193</v>
      </c>
      <c r="H175" t="b">
        <v>1</v>
      </c>
      <c r="I175">
        <v>1</v>
      </c>
      <c r="J175" t="s">
        <v>194</v>
      </c>
      <c r="K175" s="40" t="b">
        <v>0</v>
      </c>
      <c r="L175" t="s">
        <v>207</v>
      </c>
      <c r="P175">
        <v>9</v>
      </c>
    </row>
    <row r="176" spans="1:16" x14ac:dyDescent="0.3">
      <c r="A176" t="s">
        <v>0</v>
      </c>
      <c r="B176" s="25" t="s">
        <v>1</v>
      </c>
      <c r="C176">
        <v>2025</v>
      </c>
      <c r="D176" t="s">
        <v>54</v>
      </c>
      <c r="E176" t="s">
        <v>206</v>
      </c>
      <c r="F176">
        <v>78</v>
      </c>
      <c r="G176" t="s">
        <v>193</v>
      </c>
      <c r="H176" t="b">
        <v>1</v>
      </c>
      <c r="I176">
        <v>1</v>
      </c>
      <c r="J176" t="s">
        <v>194</v>
      </c>
      <c r="K176" s="40" t="b">
        <v>0</v>
      </c>
      <c r="L176" t="s">
        <v>207</v>
      </c>
      <c r="P176">
        <v>10</v>
      </c>
    </row>
    <row r="177" spans="1:16" x14ac:dyDescent="0.3">
      <c r="A177" t="s">
        <v>0</v>
      </c>
      <c r="B177" s="25" t="s">
        <v>1</v>
      </c>
      <c r="C177">
        <v>2025</v>
      </c>
      <c r="D177" t="s">
        <v>55</v>
      </c>
      <c r="E177" t="s">
        <v>206</v>
      </c>
      <c r="F177">
        <v>69</v>
      </c>
      <c r="G177" t="s">
        <v>193</v>
      </c>
      <c r="H177" t="b">
        <v>1</v>
      </c>
      <c r="I177">
        <v>1</v>
      </c>
      <c r="J177" t="s">
        <v>194</v>
      </c>
      <c r="K177" s="40" t="b">
        <v>0</v>
      </c>
      <c r="L177" t="s">
        <v>207</v>
      </c>
      <c r="P177">
        <v>11</v>
      </c>
    </row>
    <row r="178" spans="1:16" x14ac:dyDescent="0.3">
      <c r="A178" t="s">
        <v>0</v>
      </c>
      <c r="B178" s="25" t="s">
        <v>1</v>
      </c>
      <c r="C178">
        <v>2025</v>
      </c>
      <c r="D178" t="s">
        <v>56</v>
      </c>
      <c r="E178" t="s">
        <v>206</v>
      </c>
      <c r="F178">
        <v>42</v>
      </c>
      <c r="G178" t="s">
        <v>193</v>
      </c>
      <c r="H178" t="b">
        <v>1</v>
      </c>
      <c r="I178">
        <v>1</v>
      </c>
      <c r="J178" t="s">
        <v>194</v>
      </c>
      <c r="K178" s="40" t="b">
        <v>0</v>
      </c>
      <c r="L178" t="s">
        <v>207</v>
      </c>
      <c r="P178">
        <v>12</v>
      </c>
    </row>
    <row r="179" spans="1:16" x14ac:dyDescent="0.3">
      <c r="B179" s="25"/>
      <c r="K179" s="40"/>
    </row>
    <row r="180" spans="1:16" x14ac:dyDescent="0.3">
      <c r="A180" t="s">
        <v>0</v>
      </c>
      <c r="B180" s="25" t="s">
        <v>1</v>
      </c>
      <c r="C180">
        <v>2025</v>
      </c>
      <c r="D180" t="s">
        <v>2</v>
      </c>
      <c r="E180" t="s">
        <v>208</v>
      </c>
      <c r="F180">
        <v>85</v>
      </c>
      <c r="G180" t="s">
        <v>193</v>
      </c>
      <c r="H180" t="b">
        <v>1</v>
      </c>
      <c r="I180">
        <v>1</v>
      </c>
      <c r="J180" t="s">
        <v>194</v>
      </c>
      <c r="K180" s="40" t="b">
        <v>0</v>
      </c>
      <c r="L180" t="s">
        <v>205</v>
      </c>
      <c r="P180">
        <v>1</v>
      </c>
    </row>
    <row r="181" spans="1:16" x14ac:dyDescent="0.3">
      <c r="A181" t="s">
        <v>0</v>
      </c>
      <c r="B181" s="25" t="s">
        <v>1</v>
      </c>
      <c r="C181">
        <v>2025</v>
      </c>
      <c r="D181" t="s">
        <v>46</v>
      </c>
      <c r="E181" t="s">
        <v>208</v>
      </c>
      <c r="F181">
        <v>83</v>
      </c>
      <c r="G181" t="s">
        <v>193</v>
      </c>
      <c r="H181" t="b">
        <v>1</v>
      </c>
      <c r="I181">
        <v>1</v>
      </c>
      <c r="J181" t="s">
        <v>194</v>
      </c>
      <c r="K181" s="40" t="b">
        <v>0</v>
      </c>
      <c r="L181" t="s">
        <v>205</v>
      </c>
      <c r="P181">
        <v>2</v>
      </c>
    </row>
    <row r="182" spans="1:16" x14ac:dyDescent="0.3">
      <c r="A182" t="s">
        <v>0</v>
      </c>
      <c r="B182" s="25" t="s">
        <v>1</v>
      </c>
      <c r="C182">
        <v>2025</v>
      </c>
      <c r="D182" t="s">
        <v>47</v>
      </c>
      <c r="E182" t="s">
        <v>208</v>
      </c>
      <c r="F182">
        <v>78</v>
      </c>
      <c r="G182" t="s">
        <v>193</v>
      </c>
      <c r="H182" t="b">
        <v>1</v>
      </c>
      <c r="I182">
        <v>1</v>
      </c>
      <c r="J182" t="s">
        <v>194</v>
      </c>
      <c r="K182" s="40" t="b">
        <v>0</v>
      </c>
      <c r="L182" t="s">
        <v>205</v>
      </c>
      <c r="P182">
        <v>3</v>
      </c>
    </row>
    <row r="183" spans="1:16" x14ac:dyDescent="0.3">
      <c r="A183" t="s">
        <v>0</v>
      </c>
      <c r="B183" s="25" t="s">
        <v>1</v>
      </c>
      <c r="C183">
        <v>2025</v>
      </c>
      <c r="D183" t="s">
        <v>48</v>
      </c>
      <c r="E183" t="s">
        <v>208</v>
      </c>
      <c r="F183">
        <v>120</v>
      </c>
      <c r="G183" t="s">
        <v>193</v>
      </c>
      <c r="H183" t="b">
        <v>1</v>
      </c>
      <c r="I183">
        <v>1</v>
      </c>
      <c r="J183" t="s">
        <v>194</v>
      </c>
      <c r="K183" s="40" t="b">
        <v>0</v>
      </c>
      <c r="L183" t="s">
        <v>205</v>
      </c>
      <c r="P183">
        <v>4</v>
      </c>
    </row>
    <row r="184" spans="1:16" x14ac:dyDescent="0.3">
      <c r="A184" t="s">
        <v>0</v>
      </c>
      <c r="B184" s="25" t="s">
        <v>1</v>
      </c>
      <c r="C184">
        <v>2025</v>
      </c>
      <c r="D184" t="s">
        <v>49</v>
      </c>
      <c r="E184" t="s">
        <v>208</v>
      </c>
      <c r="F184">
        <v>24</v>
      </c>
      <c r="G184" t="s">
        <v>193</v>
      </c>
      <c r="H184" t="b">
        <v>1</v>
      </c>
      <c r="I184">
        <v>1</v>
      </c>
      <c r="J184" t="s">
        <v>194</v>
      </c>
      <c r="K184" s="40" t="b">
        <v>0</v>
      </c>
      <c r="L184" t="s">
        <v>205</v>
      </c>
      <c r="P184">
        <v>5</v>
      </c>
    </row>
    <row r="185" spans="1:16" x14ac:dyDescent="0.3">
      <c r="A185" t="s">
        <v>0</v>
      </c>
      <c r="B185" s="25" t="s">
        <v>1</v>
      </c>
      <c r="C185">
        <v>2025</v>
      </c>
      <c r="D185" t="s">
        <v>50</v>
      </c>
      <c r="E185" t="s">
        <v>208</v>
      </c>
      <c r="F185">
        <v>52</v>
      </c>
      <c r="G185" t="s">
        <v>193</v>
      </c>
      <c r="H185" t="b">
        <v>1</v>
      </c>
      <c r="I185">
        <v>1</v>
      </c>
      <c r="J185" t="s">
        <v>194</v>
      </c>
      <c r="K185" s="40" t="b">
        <v>0</v>
      </c>
      <c r="L185" t="s">
        <v>205</v>
      </c>
      <c r="P185">
        <v>6</v>
      </c>
    </row>
    <row r="186" spans="1:16" x14ac:dyDescent="0.3">
      <c r="A186" t="s">
        <v>0</v>
      </c>
      <c r="B186" s="25" t="s">
        <v>1</v>
      </c>
      <c r="C186">
        <v>2025</v>
      </c>
      <c r="D186" t="s">
        <v>51</v>
      </c>
      <c r="E186" t="s">
        <v>208</v>
      </c>
      <c r="F186">
        <v>58</v>
      </c>
      <c r="G186" t="s">
        <v>193</v>
      </c>
      <c r="H186" t="b">
        <v>1</v>
      </c>
      <c r="I186">
        <v>1</v>
      </c>
      <c r="J186" t="s">
        <v>194</v>
      </c>
      <c r="K186" s="40" t="b">
        <v>0</v>
      </c>
      <c r="L186" t="s">
        <v>205</v>
      </c>
      <c r="P186">
        <v>7</v>
      </c>
    </row>
    <row r="187" spans="1:16" x14ac:dyDescent="0.3">
      <c r="A187" t="s">
        <v>0</v>
      </c>
      <c r="B187" s="25" t="s">
        <v>1</v>
      </c>
      <c r="C187">
        <v>2025</v>
      </c>
      <c r="D187" t="s">
        <v>52</v>
      </c>
      <c r="E187" t="s">
        <v>208</v>
      </c>
      <c r="F187">
        <v>34</v>
      </c>
      <c r="G187" t="s">
        <v>193</v>
      </c>
      <c r="H187" t="b">
        <v>1</v>
      </c>
      <c r="I187">
        <v>1</v>
      </c>
      <c r="J187" t="s">
        <v>194</v>
      </c>
      <c r="K187" s="40" t="b">
        <v>0</v>
      </c>
      <c r="L187" t="s">
        <v>205</v>
      </c>
      <c r="P187">
        <v>8</v>
      </c>
    </row>
    <row r="188" spans="1:16" x14ac:dyDescent="0.3">
      <c r="A188" t="s">
        <v>0</v>
      </c>
      <c r="B188" s="25" t="s">
        <v>1</v>
      </c>
      <c r="C188">
        <v>2025</v>
      </c>
      <c r="D188" t="s">
        <v>53</v>
      </c>
      <c r="E188" t="s">
        <v>208</v>
      </c>
      <c r="F188">
        <v>89</v>
      </c>
      <c r="G188" t="s">
        <v>193</v>
      </c>
      <c r="H188" t="b">
        <v>1</v>
      </c>
      <c r="I188">
        <v>1</v>
      </c>
      <c r="J188" t="s">
        <v>194</v>
      </c>
      <c r="K188" s="40" t="b">
        <v>0</v>
      </c>
      <c r="L188" t="s">
        <v>205</v>
      </c>
      <c r="P188">
        <v>9</v>
      </c>
    </row>
    <row r="189" spans="1:16" x14ac:dyDescent="0.3">
      <c r="A189" t="s">
        <v>0</v>
      </c>
      <c r="B189" s="25" t="s">
        <v>1</v>
      </c>
      <c r="C189">
        <v>2025</v>
      </c>
      <c r="D189" t="s">
        <v>54</v>
      </c>
      <c r="E189" t="s">
        <v>208</v>
      </c>
      <c r="F189">
        <v>75</v>
      </c>
      <c r="G189" t="s">
        <v>193</v>
      </c>
      <c r="H189" t="b">
        <v>1</v>
      </c>
      <c r="I189">
        <v>1</v>
      </c>
      <c r="J189" t="s">
        <v>194</v>
      </c>
      <c r="K189" s="40" t="b">
        <v>0</v>
      </c>
      <c r="L189" t="s">
        <v>205</v>
      </c>
      <c r="P189">
        <v>10</v>
      </c>
    </row>
    <row r="190" spans="1:16" x14ac:dyDescent="0.3">
      <c r="A190" t="s">
        <v>0</v>
      </c>
      <c r="B190" s="25" t="s">
        <v>1</v>
      </c>
      <c r="C190">
        <v>2025</v>
      </c>
      <c r="D190" t="s">
        <v>55</v>
      </c>
      <c r="E190" t="s">
        <v>208</v>
      </c>
      <c r="F190">
        <v>74</v>
      </c>
      <c r="G190" t="s">
        <v>193</v>
      </c>
      <c r="H190" t="b">
        <v>1</v>
      </c>
      <c r="I190">
        <v>1</v>
      </c>
      <c r="J190" t="s">
        <v>194</v>
      </c>
      <c r="K190" s="40" t="b">
        <v>0</v>
      </c>
      <c r="L190" t="s">
        <v>205</v>
      </c>
      <c r="P190">
        <v>11</v>
      </c>
    </row>
    <row r="191" spans="1:16" x14ac:dyDescent="0.3">
      <c r="A191" t="s">
        <v>0</v>
      </c>
      <c r="B191" s="25" t="s">
        <v>1</v>
      </c>
      <c r="C191">
        <v>2025</v>
      </c>
      <c r="D191" t="s">
        <v>56</v>
      </c>
      <c r="E191" t="s">
        <v>208</v>
      </c>
      <c r="F191">
        <v>102</v>
      </c>
      <c r="G191" t="s">
        <v>193</v>
      </c>
      <c r="H191" t="b">
        <v>1</v>
      </c>
      <c r="I191">
        <v>1</v>
      </c>
      <c r="J191" t="s">
        <v>194</v>
      </c>
      <c r="K191" s="40" t="b">
        <v>0</v>
      </c>
      <c r="L191" t="s">
        <v>203</v>
      </c>
      <c r="P191">
        <v>12</v>
      </c>
    </row>
    <row r="192" spans="1:16" x14ac:dyDescent="0.3">
      <c r="B192" s="25"/>
      <c r="K192" s="40"/>
    </row>
    <row r="193" spans="1:16" x14ac:dyDescent="0.3">
      <c r="A193" t="s">
        <v>0</v>
      </c>
      <c r="B193" s="25" t="s">
        <v>1</v>
      </c>
      <c r="C193">
        <v>2025</v>
      </c>
      <c r="D193" t="s">
        <v>2</v>
      </c>
      <c r="E193" t="s">
        <v>209</v>
      </c>
      <c r="F193">
        <v>23</v>
      </c>
      <c r="G193" t="s">
        <v>193</v>
      </c>
      <c r="H193" t="b">
        <v>1</v>
      </c>
      <c r="I193">
        <v>1</v>
      </c>
      <c r="J193" t="s">
        <v>194</v>
      </c>
      <c r="K193" s="40" t="b">
        <v>0</v>
      </c>
      <c r="L193" t="s">
        <v>203</v>
      </c>
      <c r="P193">
        <v>1</v>
      </c>
    </row>
    <row r="194" spans="1:16" x14ac:dyDescent="0.3">
      <c r="A194" t="s">
        <v>0</v>
      </c>
      <c r="B194" s="25" t="s">
        <v>1</v>
      </c>
      <c r="C194">
        <v>2025</v>
      </c>
      <c r="D194" t="s">
        <v>46</v>
      </c>
      <c r="E194" t="s">
        <v>209</v>
      </c>
      <c r="F194">
        <v>83</v>
      </c>
      <c r="G194" t="s">
        <v>193</v>
      </c>
      <c r="H194" t="b">
        <v>1</v>
      </c>
      <c r="I194">
        <v>1</v>
      </c>
      <c r="J194" t="s">
        <v>194</v>
      </c>
      <c r="K194" s="40" t="b">
        <v>0</v>
      </c>
      <c r="L194" t="s">
        <v>203</v>
      </c>
      <c r="P194">
        <v>2</v>
      </c>
    </row>
    <row r="195" spans="1:16" x14ac:dyDescent="0.3">
      <c r="A195" t="s">
        <v>0</v>
      </c>
      <c r="B195" s="25" t="s">
        <v>1</v>
      </c>
      <c r="C195">
        <v>2025</v>
      </c>
      <c r="D195" t="s">
        <v>47</v>
      </c>
      <c r="E195" t="s">
        <v>209</v>
      </c>
      <c r="F195">
        <v>118</v>
      </c>
      <c r="G195" t="s">
        <v>193</v>
      </c>
      <c r="H195" t="b">
        <v>1</v>
      </c>
      <c r="I195">
        <v>1</v>
      </c>
      <c r="J195" t="s">
        <v>194</v>
      </c>
      <c r="K195" s="40" t="b">
        <v>0</v>
      </c>
      <c r="L195" t="s">
        <v>203</v>
      </c>
      <c r="P195">
        <v>3</v>
      </c>
    </row>
    <row r="196" spans="1:16" x14ac:dyDescent="0.3">
      <c r="A196" t="s">
        <v>0</v>
      </c>
      <c r="B196" s="25" t="s">
        <v>1</v>
      </c>
      <c r="C196">
        <v>2025</v>
      </c>
      <c r="D196" t="s">
        <v>48</v>
      </c>
      <c r="E196" t="s">
        <v>209</v>
      </c>
      <c r="F196">
        <v>39</v>
      </c>
      <c r="G196" t="s">
        <v>193</v>
      </c>
      <c r="H196" t="b">
        <v>1</v>
      </c>
      <c r="I196">
        <v>1</v>
      </c>
      <c r="J196" t="s">
        <v>194</v>
      </c>
      <c r="K196" s="40" t="b">
        <v>0</v>
      </c>
      <c r="L196" t="s">
        <v>203</v>
      </c>
      <c r="P196">
        <v>4</v>
      </c>
    </row>
    <row r="197" spans="1:16" x14ac:dyDescent="0.3">
      <c r="A197" t="s">
        <v>0</v>
      </c>
      <c r="B197" s="25" t="s">
        <v>1</v>
      </c>
      <c r="C197">
        <v>2025</v>
      </c>
      <c r="D197" t="s">
        <v>49</v>
      </c>
      <c r="E197" t="s">
        <v>209</v>
      </c>
      <c r="F197">
        <v>69</v>
      </c>
      <c r="G197" t="s">
        <v>193</v>
      </c>
      <c r="H197" t="b">
        <v>1</v>
      </c>
      <c r="I197">
        <v>1</v>
      </c>
      <c r="J197" t="s">
        <v>194</v>
      </c>
      <c r="K197" s="40" t="b">
        <v>0</v>
      </c>
      <c r="L197" t="s">
        <v>203</v>
      </c>
      <c r="P197">
        <v>5</v>
      </c>
    </row>
    <row r="198" spans="1:16" x14ac:dyDescent="0.3">
      <c r="A198" t="s">
        <v>0</v>
      </c>
      <c r="B198" s="25" t="s">
        <v>1</v>
      </c>
      <c r="C198">
        <v>2025</v>
      </c>
      <c r="D198" t="s">
        <v>50</v>
      </c>
      <c r="E198" t="s">
        <v>209</v>
      </c>
      <c r="F198">
        <v>83</v>
      </c>
      <c r="G198" t="s">
        <v>193</v>
      </c>
      <c r="H198" t="b">
        <v>1</v>
      </c>
      <c r="I198">
        <v>1</v>
      </c>
      <c r="J198" t="s">
        <v>194</v>
      </c>
      <c r="K198" s="40" t="b">
        <v>0</v>
      </c>
      <c r="L198" t="s">
        <v>203</v>
      </c>
      <c r="P198">
        <v>6</v>
      </c>
    </row>
    <row r="199" spans="1:16" x14ac:dyDescent="0.3">
      <c r="A199" t="s">
        <v>0</v>
      </c>
      <c r="B199" s="25" t="s">
        <v>1</v>
      </c>
      <c r="C199">
        <v>2025</v>
      </c>
      <c r="D199" t="s">
        <v>51</v>
      </c>
      <c r="E199" t="s">
        <v>209</v>
      </c>
      <c r="F199">
        <v>59</v>
      </c>
      <c r="G199" t="s">
        <v>193</v>
      </c>
      <c r="H199" t="b">
        <v>1</v>
      </c>
      <c r="I199">
        <v>1</v>
      </c>
      <c r="J199" t="s">
        <v>194</v>
      </c>
      <c r="K199" s="40" t="b">
        <v>0</v>
      </c>
      <c r="L199" t="s">
        <v>203</v>
      </c>
      <c r="P199">
        <v>7</v>
      </c>
    </row>
    <row r="200" spans="1:16" x14ac:dyDescent="0.3">
      <c r="A200" t="s">
        <v>0</v>
      </c>
      <c r="B200" s="25" t="s">
        <v>1</v>
      </c>
      <c r="C200">
        <v>2025</v>
      </c>
      <c r="D200" t="s">
        <v>52</v>
      </c>
      <c r="E200" t="s">
        <v>209</v>
      </c>
      <c r="F200">
        <v>83</v>
      </c>
      <c r="G200" t="s">
        <v>193</v>
      </c>
      <c r="H200" t="b">
        <v>1</v>
      </c>
      <c r="I200">
        <v>1</v>
      </c>
      <c r="J200" t="s">
        <v>194</v>
      </c>
      <c r="K200" s="40" t="b">
        <v>0</v>
      </c>
      <c r="L200" t="s">
        <v>203</v>
      </c>
      <c r="P200">
        <v>8</v>
      </c>
    </row>
    <row r="201" spans="1:16" x14ac:dyDescent="0.3">
      <c r="A201" t="s">
        <v>0</v>
      </c>
      <c r="B201" s="25" t="s">
        <v>1</v>
      </c>
      <c r="C201">
        <v>2025</v>
      </c>
      <c r="D201" t="s">
        <v>53</v>
      </c>
      <c r="E201" t="s">
        <v>209</v>
      </c>
      <c r="F201">
        <v>99</v>
      </c>
      <c r="G201" t="s">
        <v>193</v>
      </c>
      <c r="H201" t="b">
        <v>1</v>
      </c>
      <c r="I201">
        <v>1</v>
      </c>
      <c r="J201" t="s">
        <v>194</v>
      </c>
      <c r="K201" s="40" t="b">
        <v>0</v>
      </c>
      <c r="L201" t="s">
        <v>203</v>
      </c>
      <c r="P201">
        <v>9</v>
      </c>
    </row>
    <row r="202" spans="1:16" x14ac:dyDescent="0.3">
      <c r="A202" t="s">
        <v>0</v>
      </c>
      <c r="B202" s="25" t="s">
        <v>1</v>
      </c>
      <c r="C202">
        <v>2025</v>
      </c>
      <c r="D202" t="s">
        <v>54</v>
      </c>
      <c r="E202" t="s">
        <v>209</v>
      </c>
      <c r="F202">
        <v>77</v>
      </c>
      <c r="G202" t="s">
        <v>193</v>
      </c>
      <c r="H202" t="b">
        <v>1</v>
      </c>
      <c r="I202">
        <v>1</v>
      </c>
      <c r="J202" t="s">
        <v>194</v>
      </c>
      <c r="K202" s="40" t="b">
        <v>0</v>
      </c>
      <c r="L202" t="s">
        <v>203</v>
      </c>
      <c r="P202">
        <v>10</v>
      </c>
    </row>
    <row r="203" spans="1:16" x14ac:dyDescent="0.3">
      <c r="A203" t="s">
        <v>0</v>
      </c>
      <c r="B203" s="25" t="s">
        <v>1</v>
      </c>
      <c r="C203">
        <v>2025</v>
      </c>
      <c r="D203" t="s">
        <v>55</v>
      </c>
      <c r="E203" t="s">
        <v>209</v>
      </c>
      <c r="F203">
        <v>70</v>
      </c>
      <c r="G203" t="s">
        <v>193</v>
      </c>
      <c r="H203" t="b">
        <v>1</v>
      </c>
      <c r="I203">
        <v>1</v>
      </c>
      <c r="J203" t="s">
        <v>194</v>
      </c>
      <c r="K203" s="40" t="b">
        <v>0</v>
      </c>
      <c r="L203" t="s">
        <v>203</v>
      </c>
      <c r="P203">
        <v>11</v>
      </c>
    </row>
    <row r="204" spans="1:16" x14ac:dyDescent="0.3">
      <c r="A204" t="s">
        <v>0</v>
      </c>
      <c r="B204" s="25" t="s">
        <v>1</v>
      </c>
      <c r="C204">
        <v>2025</v>
      </c>
      <c r="D204" t="s">
        <v>56</v>
      </c>
      <c r="E204" t="s">
        <v>209</v>
      </c>
      <c r="F204">
        <v>35</v>
      </c>
      <c r="G204" t="s">
        <v>193</v>
      </c>
      <c r="H204" t="b">
        <v>1</v>
      </c>
      <c r="I204">
        <v>1</v>
      </c>
      <c r="J204" t="s">
        <v>194</v>
      </c>
      <c r="K204" s="40" t="b">
        <v>0</v>
      </c>
      <c r="L204" t="s">
        <v>203</v>
      </c>
      <c r="P204">
        <v>12</v>
      </c>
    </row>
    <row r="205" spans="1:16" x14ac:dyDescent="0.3">
      <c r="B205" s="25"/>
      <c r="K205" s="40"/>
    </row>
    <row r="206" spans="1:16" x14ac:dyDescent="0.3">
      <c r="A206" t="s">
        <v>0</v>
      </c>
      <c r="B206" s="25" t="s">
        <v>1</v>
      </c>
      <c r="C206">
        <v>2025</v>
      </c>
      <c r="D206" t="s">
        <v>2</v>
      </c>
      <c r="E206" t="s">
        <v>210</v>
      </c>
      <c r="F206">
        <v>53</v>
      </c>
      <c r="G206" t="s">
        <v>193</v>
      </c>
      <c r="H206" t="b">
        <v>1</v>
      </c>
      <c r="I206">
        <v>1</v>
      </c>
      <c r="J206" t="s">
        <v>194</v>
      </c>
      <c r="K206" s="40" t="b">
        <v>0</v>
      </c>
      <c r="L206" t="s">
        <v>203</v>
      </c>
      <c r="P206">
        <v>1</v>
      </c>
    </row>
    <row r="207" spans="1:16" x14ac:dyDescent="0.3">
      <c r="A207" t="s">
        <v>0</v>
      </c>
      <c r="B207" s="25" t="s">
        <v>1</v>
      </c>
      <c r="C207">
        <v>2025</v>
      </c>
      <c r="D207" t="s">
        <v>46</v>
      </c>
      <c r="E207" t="s">
        <v>210</v>
      </c>
      <c r="F207">
        <v>84</v>
      </c>
      <c r="G207" t="s">
        <v>193</v>
      </c>
      <c r="H207" t="b">
        <v>1</v>
      </c>
      <c r="I207">
        <v>1</v>
      </c>
      <c r="J207" t="s">
        <v>194</v>
      </c>
      <c r="K207" s="40" t="b">
        <v>0</v>
      </c>
      <c r="L207" t="s">
        <v>203</v>
      </c>
      <c r="P207">
        <v>2</v>
      </c>
    </row>
    <row r="208" spans="1:16" x14ac:dyDescent="0.3">
      <c r="A208" t="s">
        <v>0</v>
      </c>
      <c r="B208" s="25" t="s">
        <v>1</v>
      </c>
      <c r="C208">
        <v>2025</v>
      </c>
      <c r="D208" t="s">
        <v>47</v>
      </c>
      <c r="E208" t="s">
        <v>210</v>
      </c>
      <c r="F208">
        <v>78</v>
      </c>
      <c r="G208" t="s">
        <v>193</v>
      </c>
      <c r="H208" t="b">
        <v>1</v>
      </c>
      <c r="I208">
        <v>1</v>
      </c>
      <c r="J208" t="s">
        <v>194</v>
      </c>
      <c r="K208" s="40" t="b">
        <v>0</v>
      </c>
      <c r="L208" t="s">
        <v>203</v>
      </c>
      <c r="P208">
        <v>3</v>
      </c>
    </row>
    <row r="209" spans="1:16" x14ac:dyDescent="0.3">
      <c r="A209" t="s">
        <v>0</v>
      </c>
      <c r="B209" s="25" t="s">
        <v>1</v>
      </c>
      <c r="C209">
        <v>2025</v>
      </c>
      <c r="D209" t="s">
        <v>48</v>
      </c>
      <c r="E209" t="s">
        <v>210</v>
      </c>
      <c r="F209">
        <v>66</v>
      </c>
      <c r="G209" t="s">
        <v>193</v>
      </c>
      <c r="H209" t="b">
        <v>1</v>
      </c>
      <c r="I209">
        <v>1</v>
      </c>
      <c r="J209" t="s">
        <v>194</v>
      </c>
      <c r="K209" s="40" t="b">
        <v>0</v>
      </c>
      <c r="L209" t="s">
        <v>203</v>
      </c>
      <c r="P209">
        <v>4</v>
      </c>
    </row>
    <row r="210" spans="1:16" x14ac:dyDescent="0.3">
      <c r="A210" t="s">
        <v>0</v>
      </c>
      <c r="B210" s="25" t="s">
        <v>1</v>
      </c>
      <c r="C210">
        <v>2025</v>
      </c>
      <c r="D210" t="s">
        <v>49</v>
      </c>
      <c r="E210" t="s">
        <v>210</v>
      </c>
      <c r="F210">
        <v>117</v>
      </c>
      <c r="G210" t="s">
        <v>193</v>
      </c>
      <c r="H210" t="b">
        <v>1</v>
      </c>
      <c r="I210">
        <v>1</v>
      </c>
      <c r="J210" t="s">
        <v>194</v>
      </c>
      <c r="K210" s="40" t="b">
        <v>0</v>
      </c>
      <c r="L210" t="s">
        <v>203</v>
      </c>
      <c r="P210">
        <v>5</v>
      </c>
    </row>
    <row r="211" spans="1:16" x14ac:dyDescent="0.3">
      <c r="A211" t="s">
        <v>0</v>
      </c>
      <c r="B211" s="25" t="s">
        <v>1</v>
      </c>
      <c r="C211">
        <v>2025</v>
      </c>
      <c r="D211" t="s">
        <v>50</v>
      </c>
      <c r="E211" t="s">
        <v>210</v>
      </c>
      <c r="F211">
        <v>77</v>
      </c>
      <c r="G211" t="s">
        <v>193</v>
      </c>
      <c r="H211" t="b">
        <v>1</v>
      </c>
      <c r="I211">
        <v>1</v>
      </c>
      <c r="J211" t="s">
        <v>194</v>
      </c>
      <c r="K211" s="40" t="b">
        <v>0</v>
      </c>
      <c r="L211" t="s">
        <v>203</v>
      </c>
      <c r="P211">
        <v>6</v>
      </c>
    </row>
    <row r="212" spans="1:16" x14ac:dyDescent="0.3">
      <c r="A212" t="s">
        <v>0</v>
      </c>
      <c r="B212" s="25" t="s">
        <v>1</v>
      </c>
      <c r="C212">
        <v>2025</v>
      </c>
      <c r="D212" t="s">
        <v>51</v>
      </c>
      <c r="E212" t="s">
        <v>210</v>
      </c>
      <c r="F212">
        <v>61</v>
      </c>
      <c r="G212" t="s">
        <v>193</v>
      </c>
      <c r="H212" t="b">
        <v>1</v>
      </c>
      <c r="I212">
        <v>1</v>
      </c>
      <c r="J212" t="s">
        <v>194</v>
      </c>
      <c r="K212" s="40" t="b">
        <v>0</v>
      </c>
      <c r="L212" t="s">
        <v>203</v>
      </c>
      <c r="P212">
        <v>7</v>
      </c>
    </row>
    <row r="213" spans="1:16" x14ac:dyDescent="0.3">
      <c r="A213" t="s">
        <v>0</v>
      </c>
      <c r="B213" s="25" t="s">
        <v>1</v>
      </c>
      <c r="C213">
        <v>2025</v>
      </c>
      <c r="D213" t="s">
        <v>52</v>
      </c>
      <c r="E213" t="s">
        <v>210</v>
      </c>
      <c r="F213">
        <v>40</v>
      </c>
      <c r="G213" t="s">
        <v>193</v>
      </c>
      <c r="H213" t="b">
        <v>1</v>
      </c>
      <c r="I213">
        <v>1</v>
      </c>
      <c r="J213" t="s">
        <v>194</v>
      </c>
      <c r="K213" s="40" t="b">
        <v>0</v>
      </c>
      <c r="L213" t="s">
        <v>203</v>
      </c>
      <c r="P213">
        <v>8</v>
      </c>
    </row>
    <row r="214" spans="1:16" x14ac:dyDescent="0.3">
      <c r="A214" t="s">
        <v>0</v>
      </c>
      <c r="B214" s="25" t="s">
        <v>1</v>
      </c>
      <c r="C214">
        <v>2025</v>
      </c>
      <c r="D214" t="s">
        <v>53</v>
      </c>
      <c r="E214" t="s">
        <v>210</v>
      </c>
      <c r="F214">
        <v>69</v>
      </c>
      <c r="G214" t="s">
        <v>193</v>
      </c>
      <c r="H214" t="b">
        <v>1</v>
      </c>
      <c r="I214">
        <v>1</v>
      </c>
      <c r="J214" t="s">
        <v>194</v>
      </c>
      <c r="K214" s="40" t="b">
        <v>0</v>
      </c>
      <c r="L214" t="s">
        <v>203</v>
      </c>
      <c r="P214">
        <v>9</v>
      </c>
    </row>
    <row r="215" spans="1:16" x14ac:dyDescent="0.3">
      <c r="A215" t="s">
        <v>0</v>
      </c>
      <c r="B215" s="25" t="s">
        <v>1</v>
      </c>
      <c r="C215">
        <v>2025</v>
      </c>
      <c r="D215" t="s">
        <v>54</v>
      </c>
      <c r="E215" t="s">
        <v>210</v>
      </c>
      <c r="F215">
        <v>109</v>
      </c>
      <c r="G215" t="s">
        <v>193</v>
      </c>
      <c r="H215" t="b">
        <v>1</v>
      </c>
      <c r="I215">
        <v>1</v>
      </c>
      <c r="J215" t="s">
        <v>194</v>
      </c>
      <c r="K215" s="40" t="b">
        <v>0</v>
      </c>
      <c r="L215" t="s">
        <v>203</v>
      </c>
      <c r="P215">
        <v>10</v>
      </c>
    </row>
    <row r="216" spans="1:16" x14ac:dyDescent="0.3">
      <c r="A216" t="s">
        <v>0</v>
      </c>
      <c r="B216" s="25" t="s">
        <v>1</v>
      </c>
      <c r="C216">
        <v>2025</v>
      </c>
      <c r="D216" t="s">
        <v>55</v>
      </c>
      <c r="E216" t="s">
        <v>210</v>
      </c>
      <c r="F216">
        <v>117</v>
      </c>
      <c r="G216" t="s">
        <v>193</v>
      </c>
      <c r="H216" t="b">
        <v>1</v>
      </c>
      <c r="I216">
        <v>1</v>
      </c>
      <c r="J216" t="s">
        <v>194</v>
      </c>
      <c r="K216" s="40" t="b">
        <v>0</v>
      </c>
      <c r="L216" t="s">
        <v>203</v>
      </c>
      <c r="P216">
        <v>11</v>
      </c>
    </row>
    <row r="217" spans="1:16" x14ac:dyDescent="0.3">
      <c r="A217" t="s">
        <v>0</v>
      </c>
      <c r="B217" s="25" t="s">
        <v>1</v>
      </c>
      <c r="C217">
        <v>2025</v>
      </c>
      <c r="D217" t="s">
        <v>56</v>
      </c>
      <c r="E217" t="s">
        <v>210</v>
      </c>
      <c r="F217">
        <v>77</v>
      </c>
      <c r="G217" t="s">
        <v>193</v>
      </c>
      <c r="H217" t="b">
        <v>1</v>
      </c>
      <c r="I217">
        <v>1</v>
      </c>
      <c r="J217" t="s">
        <v>194</v>
      </c>
      <c r="K217" s="40" t="b">
        <v>0</v>
      </c>
      <c r="L217" t="s">
        <v>203</v>
      </c>
      <c r="P217">
        <v>12</v>
      </c>
    </row>
    <row r="218" spans="1:16" x14ac:dyDescent="0.3">
      <c r="B218" s="25"/>
      <c r="K218" s="40"/>
    </row>
    <row r="219" spans="1:16" x14ac:dyDescent="0.3">
      <c r="A219" t="s">
        <v>0</v>
      </c>
      <c r="B219" s="25" t="s">
        <v>1</v>
      </c>
      <c r="C219">
        <v>2025</v>
      </c>
      <c r="D219" t="s">
        <v>2</v>
      </c>
      <c r="E219" t="s">
        <v>211</v>
      </c>
      <c r="F219">
        <v>46</v>
      </c>
      <c r="G219" t="s">
        <v>193</v>
      </c>
      <c r="H219" t="b">
        <v>1</v>
      </c>
      <c r="I219">
        <v>1</v>
      </c>
      <c r="J219" t="s">
        <v>194</v>
      </c>
      <c r="K219" s="40" t="b">
        <v>0</v>
      </c>
      <c r="L219" t="s">
        <v>207</v>
      </c>
      <c r="P219">
        <v>1</v>
      </c>
    </row>
    <row r="220" spans="1:16" x14ac:dyDescent="0.3">
      <c r="A220" t="s">
        <v>0</v>
      </c>
      <c r="B220" s="25" t="s">
        <v>1</v>
      </c>
      <c r="C220">
        <v>2025</v>
      </c>
      <c r="D220" t="s">
        <v>46</v>
      </c>
      <c r="E220" t="s">
        <v>211</v>
      </c>
      <c r="F220">
        <v>27</v>
      </c>
      <c r="G220" t="s">
        <v>193</v>
      </c>
      <c r="H220" t="b">
        <v>1</v>
      </c>
      <c r="I220">
        <v>1</v>
      </c>
      <c r="J220" t="s">
        <v>194</v>
      </c>
      <c r="K220" s="40" t="b">
        <v>0</v>
      </c>
      <c r="L220" t="s">
        <v>207</v>
      </c>
      <c r="P220">
        <v>2</v>
      </c>
    </row>
    <row r="221" spans="1:16" x14ac:dyDescent="0.3">
      <c r="A221" t="s">
        <v>0</v>
      </c>
      <c r="B221" s="25" t="s">
        <v>1</v>
      </c>
      <c r="C221">
        <v>2025</v>
      </c>
      <c r="D221" t="s">
        <v>47</v>
      </c>
      <c r="E221" t="s">
        <v>211</v>
      </c>
      <c r="F221">
        <v>119</v>
      </c>
      <c r="G221" t="s">
        <v>193</v>
      </c>
      <c r="H221" t="b">
        <v>1</v>
      </c>
      <c r="I221">
        <v>1</v>
      </c>
      <c r="J221" t="s">
        <v>194</v>
      </c>
      <c r="K221" s="40" t="b">
        <v>0</v>
      </c>
      <c r="L221" t="s">
        <v>207</v>
      </c>
      <c r="P221">
        <v>3</v>
      </c>
    </row>
    <row r="222" spans="1:16" x14ac:dyDescent="0.3">
      <c r="A222" t="s">
        <v>0</v>
      </c>
      <c r="B222" s="25" t="s">
        <v>1</v>
      </c>
      <c r="C222">
        <v>2025</v>
      </c>
      <c r="D222" t="s">
        <v>48</v>
      </c>
      <c r="E222" t="s">
        <v>211</v>
      </c>
      <c r="F222">
        <v>63</v>
      </c>
      <c r="G222" t="s">
        <v>193</v>
      </c>
      <c r="H222" t="b">
        <v>1</v>
      </c>
      <c r="I222">
        <v>1</v>
      </c>
      <c r="J222" t="s">
        <v>194</v>
      </c>
      <c r="K222" s="40" t="b">
        <v>0</v>
      </c>
      <c r="L222" t="s">
        <v>207</v>
      </c>
      <c r="P222">
        <v>4</v>
      </c>
    </row>
    <row r="223" spans="1:16" x14ac:dyDescent="0.3">
      <c r="A223" t="s">
        <v>0</v>
      </c>
      <c r="B223" s="25" t="s">
        <v>1</v>
      </c>
      <c r="C223">
        <v>2025</v>
      </c>
      <c r="D223" t="s">
        <v>49</v>
      </c>
      <c r="E223" t="s">
        <v>211</v>
      </c>
      <c r="F223">
        <v>118</v>
      </c>
      <c r="G223" t="s">
        <v>193</v>
      </c>
      <c r="H223" t="b">
        <v>1</v>
      </c>
      <c r="I223">
        <v>1</v>
      </c>
      <c r="J223" t="s">
        <v>194</v>
      </c>
      <c r="K223" s="40" t="b">
        <v>0</v>
      </c>
      <c r="L223" t="s">
        <v>207</v>
      </c>
      <c r="P223">
        <v>5</v>
      </c>
    </row>
    <row r="224" spans="1:16" x14ac:dyDescent="0.3">
      <c r="A224" t="s">
        <v>0</v>
      </c>
      <c r="B224" s="25" t="s">
        <v>1</v>
      </c>
      <c r="C224">
        <v>2025</v>
      </c>
      <c r="D224" t="s">
        <v>50</v>
      </c>
      <c r="E224" t="s">
        <v>211</v>
      </c>
      <c r="F224">
        <v>93</v>
      </c>
      <c r="G224" t="s">
        <v>193</v>
      </c>
      <c r="H224" t="b">
        <v>1</v>
      </c>
      <c r="I224">
        <v>1</v>
      </c>
      <c r="J224" t="s">
        <v>194</v>
      </c>
      <c r="K224" s="40" t="b">
        <v>0</v>
      </c>
      <c r="L224" t="s">
        <v>207</v>
      </c>
      <c r="P224">
        <v>6</v>
      </c>
    </row>
    <row r="225" spans="1:16" x14ac:dyDescent="0.3">
      <c r="A225" t="s">
        <v>0</v>
      </c>
      <c r="B225" s="25" t="s">
        <v>1</v>
      </c>
      <c r="C225">
        <v>2025</v>
      </c>
      <c r="D225" t="s">
        <v>51</v>
      </c>
      <c r="E225" t="s">
        <v>211</v>
      </c>
      <c r="F225">
        <v>82</v>
      </c>
      <c r="G225" t="s">
        <v>193</v>
      </c>
      <c r="H225" t="b">
        <v>1</v>
      </c>
      <c r="I225">
        <v>1</v>
      </c>
      <c r="J225" t="s">
        <v>194</v>
      </c>
      <c r="K225" s="40" t="b">
        <v>0</v>
      </c>
      <c r="L225" t="s">
        <v>207</v>
      </c>
      <c r="P225">
        <v>7</v>
      </c>
    </row>
    <row r="226" spans="1:16" x14ac:dyDescent="0.3">
      <c r="A226" t="s">
        <v>0</v>
      </c>
      <c r="B226" s="25" t="s">
        <v>1</v>
      </c>
      <c r="C226">
        <v>2025</v>
      </c>
      <c r="D226" t="s">
        <v>52</v>
      </c>
      <c r="E226" t="s">
        <v>211</v>
      </c>
      <c r="F226">
        <v>20</v>
      </c>
      <c r="G226" t="s">
        <v>193</v>
      </c>
      <c r="H226" t="b">
        <v>1</v>
      </c>
      <c r="I226">
        <v>1</v>
      </c>
      <c r="J226" t="s">
        <v>194</v>
      </c>
      <c r="K226" s="40" t="b">
        <v>0</v>
      </c>
      <c r="L226" t="s">
        <v>207</v>
      </c>
      <c r="P226">
        <v>8</v>
      </c>
    </row>
    <row r="227" spans="1:16" x14ac:dyDescent="0.3">
      <c r="A227" t="s">
        <v>0</v>
      </c>
      <c r="B227" s="25" t="s">
        <v>1</v>
      </c>
      <c r="C227">
        <v>2025</v>
      </c>
      <c r="D227" t="s">
        <v>53</v>
      </c>
      <c r="E227" t="s">
        <v>211</v>
      </c>
      <c r="F227">
        <v>54</v>
      </c>
      <c r="G227" t="s">
        <v>193</v>
      </c>
      <c r="H227" t="b">
        <v>1</v>
      </c>
      <c r="I227">
        <v>1</v>
      </c>
      <c r="J227" t="s">
        <v>194</v>
      </c>
      <c r="K227" s="40" t="b">
        <v>0</v>
      </c>
      <c r="L227" t="s">
        <v>207</v>
      </c>
      <c r="P227">
        <v>9</v>
      </c>
    </row>
    <row r="228" spans="1:16" x14ac:dyDescent="0.3">
      <c r="A228" t="s">
        <v>0</v>
      </c>
      <c r="B228" s="25" t="s">
        <v>1</v>
      </c>
      <c r="C228">
        <v>2025</v>
      </c>
      <c r="D228" t="s">
        <v>54</v>
      </c>
      <c r="E228" t="s">
        <v>211</v>
      </c>
      <c r="F228">
        <v>76</v>
      </c>
      <c r="G228" t="s">
        <v>193</v>
      </c>
      <c r="H228" t="b">
        <v>1</v>
      </c>
      <c r="I228">
        <v>1</v>
      </c>
      <c r="J228" t="s">
        <v>194</v>
      </c>
      <c r="K228" s="40" t="b">
        <v>0</v>
      </c>
      <c r="L228" t="s">
        <v>207</v>
      </c>
      <c r="P228">
        <v>10</v>
      </c>
    </row>
    <row r="229" spans="1:16" x14ac:dyDescent="0.3">
      <c r="A229" t="s">
        <v>0</v>
      </c>
      <c r="B229" s="25" t="s">
        <v>1</v>
      </c>
      <c r="C229">
        <v>2025</v>
      </c>
      <c r="D229" t="s">
        <v>55</v>
      </c>
      <c r="E229" t="s">
        <v>211</v>
      </c>
      <c r="F229">
        <v>96</v>
      </c>
      <c r="G229" t="s">
        <v>193</v>
      </c>
      <c r="H229" t="b">
        <v>1</v>
      </c>
      <c r="I229">
        <v>1</v>
      </c>
      <c r="J229" t="s">
        <v>194</v>
      </c>
      <c r="K229" s="40" t="b">
        <v>0</v>
      </c>
      <c r="L229" t="s">
        <v>207</v>
      </c>
      <c r="P229">
        <v>11</v>
      </c>
    </row>
    <row r="230" spans="1:16" x14ac:dyDescent="0.3">
      <c r="A230" t="s">
        <v>0</v>
      </c>
      <c r="B230" s="25" t="s">
        <v>1</v>
      </c>
      <c r="C230">
        <v>2025</v>
      </c>
      <c r="D230" t="s">
        <v>56</v>
      </c>
      <c r="E230" t="s">
        <v>211</v>
      </c>
      <c r="F230">
        <v>94</v>
      </c>
      <c r="G230" t="s">
        <v>193</v>
      </c>
      <c r="H230" t="b">
        <v>1</v>
      </c>
      <c r="I230">
        <v>1</v>
      </c>
      <c r="J230" t="s">
        <v>194</v>
      </c>
      <c r="K230" s="40" t="b">
        <v>0</v>
      </c>
      <c r="L230" t="s">
        <v>207</v>
      </c>
      <c r="P230">
        <v>12</v>
      </c>
    </row>
    <row r="231" spans="1:16" x14ac:dyDescent="0.3">
      <c r="B231" s="25"/>
      <c r="K231" s="40"/>
    </row>
    <row r="232" spans="1:16" x14ac:dyDescent="0.3">
      <c r="A232" t="s">
        <v>0</v>
      </c>
      <c r="B232" s="25" t="s">
        <v>1</v>
      </c>
      <c r="C232">
        <v>2025</v>
      </c>
      <c r="D232" t="s">
        <v>2</v>
      </c>
      <c r="E232" t="s">
        <v>212</v>
      </c>
      <c r="F232">
        <v>94</v>
      </c>
      <c r="G232" t="s">
        <v>193</v>
      </c>
      <c r="H232" t="b">
        <v>1</v>
      </c>
      <c r="I232">
        <v>1</v>
      </c>
      <c r="J232" t="s">
        <v>194</v>
      </c>
      <c r="K232" s="40" t="b">
        <v>0</v>
      </c>
      <c r="L232" t="s">
        <v>213</v>
      </c>
      <c r="P232">
        <v>1</v>
      </c>
    </row>
    <row r="233" spans="1:16" x14ac:dyDescent="0.3">
      <c r="A233" t="s">
        <v>0</v>
      </c>
      <c r="B233" s="25" t="s">
        <v>1</v>
      </c>
      <c r="C233">
        <v>2025</v>
      </c>
      <c r="D233" t="s">
        <v>46</v>
      </c>
      <c r="E233" t="s">
        <v>212</v>
      </c>
      <c r="F233">
        <v>89</v>
      </c>
      <c r="G233" t="s">
        <v>193</v>
      </c>
      <c r="H233" t="b">
        <v>1</v>
      </c>
      <c r="I233">
        <v>1</v>
      </c>
      <c r="J233" t="s">
        <v>194</v>
      </c>
      <c r="K233" s="40" t="b">
        <v>0</v>
      </c>
      <c r="L233" t="s">
        <v>213</v>
      </c>
      <c r="P233">
        <v>2</v>
      </c>
    </row>
    <row r="234" spans="1:16" x14ac:dyDescent="0.3">
      <c r="A234" t="s">
        <v>0</v>
      </c>
      <c r="B234" s="25" t="s">
        <v>1</v>
      </c>
      <c r="C234">
        <v>2025</v>
      </c>
      <c r="D234" t="s">
        <v>47</v>
      </c>
      <c r="E234" t="s">
        <v>212</v>
      </c>
      <c r="F234">
        <v>103</v>
      </c>
      <c r="G234" t="s">
        <v>193</v>
      </c>
      <c r="H234" t="b">
        <v>1</v>
      </c>
      <c r="I234">
        <v>1</v>
      </c>
      <c r="J234" t="s">
        <v>194</v>
      </c>
      <c r="K234" s="40" t="b">
        <v>0</v>
      </c>
      <c r="L234" t="s">
        <v>213</v>
      </c>
      <c r="P234">
        <v>3</v>
      </c>
    </row>
    <row r="235" spans="1:16" x14ac:dyDescent="0.3">
      <c r="A235" t="s">
        <v>0</v>
      </c>
      <c r="B235" s="25" t="s">
        <v>1</v>
      </c>
      <c r="C235">
        <v>2025</v>
      </c>
      <c r="D235" t="s">
        <v>48</v>
      </c>
      <c r="E235" t="s">
        <v>212</v>
      </c>
      <c r="F235">
        <v>37</v>
      </c>
      <c r="G235" t="s">
        <v>193</v>
      </c>
      <c r="H235" t="b">
        <v>1</v>
      </c>
      <c r="I235">
        <v>1</v>
      </c>
      <c r="J235" t="s">
        <v>194</v>
      </c>
      <c r="K235" s="40" t="b">
        <v>0</v>
      </c>
      <c r="L235" t="s">
        <v>213</v>
      </c>
      <c r="P235">
        <v>4</v>
      </c>
    </row>
    <row r="236" spans="1:16" x14ac:dyDescent="0.3">
      <c r="A236" t="s">
        <v>0</v>
      </c>
      <c r="B236" s="25" t="s">
        <v>1</v>
      </c>
      <c r="C236">
        <v>2025</v>
      </c>
      <c r="D236" t="s">
        <v>49</v>
      </c>
      <c r="E236" t="s">
        <v>212</v>
      </c>
      <c r="F236">
        <v>65</v>
      </c>
      <c r="G236" t="s">
        <v>193</v>
      </c>
      <c r="H236" t="b">
        <v>1</v>
      </c>
      <c r="I236">
        <v>1</v>
      </c>
      <c r="J236" t="s">
        <v>194</v>
      </c>
      <c r="K236" s="40" t="b">
        <v>0</v>
      </c>
      <c r="L236" t="s">
        <v>213</v>
      </c>
      <c r="P236">
        <v>5</v>
      </c>
    </row>
    <row r="237" spans="1:16" x14ac:dyDescent="0.3">
      <c r="A237" t="s">
        <v>0</v>
      </c>
      <c r="B237" s="25" t="s">
        <v>1</v>
      </c>
      <c r="C237">
        <v>2025</v>
      </c>
      <c r="D237" t="s">
        <v>50</v>
      </c>
      <c r="E237" t="s">
        <v>212</v>
      </c>
      <c r="F237">
        <v>21</v>
      </c>
      <c r="G237" t="s">
        <v>193</v>
      </c>
      <c r="H237" t="b">
        <v>1</v>
      </c>
      <c r="I237">
        <v>1</v>
      </c>
      <c r="J237" t="s">
        <v>194</v>
      </c>
      <c r="K237" s="40" t="b">
        <v>0</v>
      </c>
      <c r="L237" t="s">
        <v>213</v>
      </c>
      <c r="P237">
        <v>6</v>
      </c>
    </row>
    <row r="238" spans="1:16" x14ac:dyDescent="0.3">
      <c r="A238" t="s">
        <v>0</v>
      </c>
      <c r="B238" s="25" t="s">
        <v>1</v>
      </c>
      <c r="C238">
        <v>2025</v>
      </c>
      <c r="D238" t="s">
        <v>51</v>
      </c>
      <c r="E238" t="s">
        <v>212</v>
      </c>
      <c r="F238">
        <v>45</v>
      </c>
      <c r="G238" t="s">
        <v>193</v>
      </c>
      <c r="H238" t="b">
        <v>1</v>
      </c>
      <c r="I238">
        <v>1</v>
      </c>
      <c r="J238" t="s">
        <v>194</v>
      </c>
      <c r="K238" s="40" t="b">
        <v>0</v>
      </c>
      <c r="L238" t="s">
        <v>213</v>
      </c>
      <c r="P238">
        <v>7</v>
      </c>
    </row>
    <row r="239" spans="1:16" x14ac:dyDescent="0.3">
      <c r="A239" t="s">
        <v>0</v>
      </c>
      <c r="B239" s="25" t="s">
        <v>1</v>
      </c>
      <c r="C239">
        <v>2025</v>
      </c>
      <c r="D239" t="s">
        <v>52</v>
      </c>
      <c r="E239" t="s">
        <v>212</v>
      </c>
      <c r="F239">
        <v>70</v>
      </c>
      <c r="G239" t="s">
        <v>193</v>
      </c>
      <c r="H239" t="b">
        <v>1</v>
      </c>
      <c r="I239">
        <v>1</v>
      </c>
      <c r="J239" t="s">
        <v>194</v>
      </c>
      <c r="K239" s="40" t="b">
        <v>0</v>
      </c>
      <c r="L239" t="s">
        <v>213</v>
      </c>
      <c r="P239">
        <v>8</v>
      </c>
    </row>
    <row r="240" spans="1:16" x14ac:dyDescent="0.3">
      <c r="A240" t="s">
        <v>0</v>
      </c>
      <c r="B240" s="25" t="s">
        <v>1</v>
      </c>
      <c r="C240">
        <v>2025</v>
      </c>
      <c r="D240" t="s">
        <v>53</v>
      </c>
      <c r="E240" t="s">
        <v>212</v>
      </c>
      <c r="F240">
        <v>56</v>
      </c>
      <c r="G240" t="s">
        <v>193</v>
      </c>
      <c r="H240" t="b">
        <v>1</v>
      </c>
      <c r="I240">
        <v>1</v>
      </c>
      <c r="J240" t="s">
        <v>194</v>
      </c>
      <c r="K240" s="40" t="b">
        <v>0</v>
      </c>
      <c r="L240" t="s">
        <v>213</v>
      </c>
      <c r="P240">
        <v>9</v>
      </c>
    </row>
    <row r="241" spans="1:16" x14ac:dyDescent="0.3">
      <c r="A241" t="s">
        <v>0</v>
      </c>
      <c r="B241" s="25" t="s">
        <v>1</v>
      </c>
      <c r="C241">
        <v>2025</v>
      </c>
      <c r="D241" t="s">
        <v>54</v>
      </c>
      <c r="E241" t="s">
        <v>212</v>
      </c>
      <c r="F241">
        <v>59</v>
      </c>
      <c r="G241" t="s">
        <v>193</v>
      </c>
      <c r="H241" t="b">
        <v>1</v>
      </c>
      <c r="I241">
        <v>1</v>
      </c>
      <c r="J241" t="s">
        <v>194</v>
      </c>
      <c r="K241" s="40" t="b">
        <v>0</v>
      </c>
      <c r="L241" t="s">
        <v>213</v>
      </c>
      <c r="P241">
        <v>10</v>
      </c>
    </row>
    <row r="242" spans="1:16" x14ac:dyDescent="0.3">
      <c r="A242" t="s">
        <v>0</v>
      </c>
      <c r="B242" s="25" t="s">
        <v>1</v>
      </c>
      <c r="C242">
        <v>2025</v>
      </c>
      <c r="D242" t="s">
        <v>55</v>
      </c>
      <c r="E242" t="s">
        <v>212</v>
      </c>
      <c r="F242">
        <v>54</v>
      </c>
      <c r="G242" t="s">
        <v>193</v>
      </c>
      <c r="H242" t="b">
        <v>1</v>
      </c>
      <c r="I242">
        <v>1</v>
      </c>
      <c r="J242" t="s">
        <v>194</v>
      </c>
      <c r="K242" s="40" t="b">
        <v>0</v>
      </c>
      <c r="L242" t="s">
        <v>213</v>
      </c>
      <c r="P242">
        <v>11</v>
      </c>
    </row>
    <row r="243" spans="1:16" x14ac:dyDescent="0.3">
      <c r="A243" t="s">
        <v>0</v>
      </c>
      <c r="B243" s="25" t="s">
        <v>1</v>
      </c>
      <c r="C243">
        <v>2025</v>
      </c>
      <c r="D243" t="s">
        <v>56</v>
      </c>
      <c r="E243" t="s">
        <v>212</v>
      </c>
      <c r="F243">
        <v>101</v>
      </c>
      <c r="G243" t="s">
        <v>193</v>
      </c>
      <c r="H243" t="b">
        <v>1</v>
      </c>
      <c r="I243">
        <v>1</v>
      </c>
      <c r="J243" t="s">
        <v>194</v>
      </c>
      <c r="K243" s="40" t="b">
        <v>0</v>
      </c>
      <c r="L243" t="s">
        <v>213</v>
      </c>
      <c r="P243">
        <v>12</v>
      </c>
    </row>
    <row r="244" spans="1:16" x14ac:dyDescent="0.3">
      <c r="B244" s="25"/>
      <c r="K244" s="40"/>
    </row>
    <row r="245" spans="1:16" x14ac:dyDescent="0.3">
      <c r="A245" t="s">
        <v>0</v>
      </c>
      <c r="B245" s="25" t="s">
        <v>1</v>
      </c>
      <c r="C245">
        <v>2025</v>
      </c>
      <c r="D245" t="s">
        <v>2</v>
      </c>
      <c r="E245" t="s">
        <v>214</v>
      </c>
      <c r="F245">
        <v>30</v>
      </c>
      <c r="G245" t="s">
        <v>193</v>
      </c>
      <c r="H245" t="b">
        <v>1</v>
      </c>
      <c r="I245">
        <v>1</v>
      </c>
      <c r="J245" t="s">
        <v>194</v>
      </c>
      <c r="K245" s="40" t="b">
        <v>0</v>
      </c>
      <c r="L245" t="s">
        <v>203</v>
      </c>
      <c r="P245">
        <v>1</v>
      </c>
    </row>
    <row r="246" spans="1:16" x14ac:dyDescent="0.3">
      <c r="A246" t="s">
        <v>0</v>
      </c>
      <c r="B246" s="25" t="s">
        <v>1</v>
      </c>
      <c r="C246">
        <v>2025</v>
      </c>
      <c r="D246" t="s">
        <v>46</v>
      </c>
      <c r="E246" t="s">
        <v>214</v>
      </c>
      <c r="F246">
        <v>40</v>
      </c>
      <c r="G246" t="s">
        <v>193</v>
      </c>
      <c r="H246" t="b">
        <v>1</v>
      </c>
      <c r="I246">
        <v>1</v>
      </c>
      <c r="J246" t="s">
        <v>194</v>
      </c>
      <c r="K246" s="40" t="b">
        <v>0</v>
      </c>
      <c r="L246" t="s">
        <v>203</v>
      </c>
      <c r="P246">
        <v>2</v>
      </c>
    </row>
    <row r="247" spans="1:16" x14ac:dyDescent="0.3">
      <c r="A247" t="s">
        <v>0</v>
      </c>
      <c r="B247" s="25" t="s">
        <v>1</v>
      </c>
      <c r="C247">
        <v>2025</v>
      </c>
      <c r="D247" t="s">
        <v>47</v>
      </c>
      <c r="E247" t="s">
        <v>214</v>
      </c>
      <c r="F247">
        <v>41</v>
      </c>
      <c r="G247" t="s">
        <v>193</v>
      </c>
      <c r="H247" t="b">
        <v>1</v>
      </c>
      <c r="I247">
        <v>1</v>
      </c>
      <c r="J247" t="s">
        <v>194</v>
      </c>
      <c r="K247" s="40" t="b">
        <v>0</v>
      </c>
      <c r="L247" t="s">
        <v>203</v>
      </c>
      <c r="P247">
        <v>3</v>
      </c>
    </row>
    <row r="248" spans="1:16" x14ac:dyDescent="0.3">
      <c r="A248" t="s">
        <v>0</v>
      </c>
      <c r="B248" s="25" t="s">
        <v>1</v>
      </c>
      <c r="C248">
        <v>2025</v>
      </c>
      <c r="D248" t="s">
        <v>48</v>
      </c>
      <c r="E248" t="s">
        <v>214</v>
      </c>
      <c r="F248">
        <v>28</v>
      </c>
      <c r="G248" t="s">
        <v>193</v>
      </c>
      <c r="H248" t="b">
        <v>1</v>
      </c>
      <c r="I248">
        <v>1</v>
      </c>
      <c r="J248" t="s">
        <v>194</v>
      </c>
      <c r="K248" s="40" t="b">
        <v>0</v>
      </c>
      <c r="L248" t="s">
        <v>203</v>
      </c>
      <c r="P248">
        <v>4</v>
      </c>
    </row>
    <row r="249" spans="1:16" x14ac:dyDescent="0.3">
      <c r="A249" t="s">
        <v>0</v>
      </c>
      <c r="B249" s="25" t="s">
        <v>1</v>
      </c>
      <c r="C249">
        <v>2025</v>
      </c>
      <c r="D249" t="s">
        <v>49</v>
      </c>
      <c r="E249" t="s">
        <v>214</v>
      </c>
      <c r="F249">
        <v>45</v>
      </c>
      <c r="G249" t="s">
        <v>193</v>
      </c>
      <c r="H249" t="b">
        <v>1</v>
      </c>
      <c r="I249">
        <v>1</v>
      </c>
      <c r="J249" t="s">
        <v>194</v>
      </c>
      <c r="K249" s="40" t="b">
        <v>0</v>
      </c>
      <c r="L249" t="s">
        <v>203</v>
      </c>
      <c r="P249">
        <v>5</v>
      </c>
    </row>
    <row r="250" spans="1:16" x14ac:dyDescent="0.3">
      <c r="A250" t="s">
        <v>0</v>
      </c>
      <c r="B250" s="25" t="s">
        <v>1</v>
      </c>
      <c r="C250">
        <v>2025</v>
      </c>
      <c r="D250" t="s">
        <v>50</v>
      </c>
      <c r="E250" t="s">
        <v>214</v>
      </c>
      <c r="F250">
        <v>22</v>
      </c>
      <c r="G250" t="s">
        <v>193</v>
      </c>
      <c r="H250" t="b">
        <v>1</v>
      </c>
      <c r="I250">
        <v>1</v>
      </c>
      <c r="J250" t="s">
        <v>194</v>
      </c>
      <c r="K250" s="40" t="b">
        <v>0</v>
      </c>
      <c r="L250" t="s">
        <v>203</v>
      </c>
      <c r="P250">
        <v>6</v>
      </c>
    </row>
    <row r="251" spans="1:16" x14ac:dyDescent="0.3">
      <c r="A251" t="s">
        <v>0</v>
      </c>
      <c r="B251" s="25" t="s">
        <v>1</v>
      </c>
      <c r="C251">
        <v>2025</v>
      </c>
      <c r="D251" t="s">
        <v>51</v>
      </c>
      <c r="E251" t="s">
        <v>214</v>
      </c>
      <c r="F251">
        <v>27</v>
      </c>
      <c r="G251" t="s">
        <v>193</v>
      </c>
      <c r="H251" t="b">
        <v>1</v>
      </c>
      <c r="I251">
        <v>1</v>
      </c>
      <c r="J251" t="s">
        <v>194</v>
      </c>
      <c r="K251" s="40" t="b">
        <v>0</v>
      </c>
      <c r="L251" t="s">
        <v>203</v>
      </c>
      <c r="P251">
        <v>7</v>
      </c>
    </row>
    <row r="252" spans="1:16" x14ac:dyDescent="0.3">
      <c r="A252" t="s">
        <v>0</v>
      </c>
      <c r="B252" s="25" t="s">
        <v>1</v>
      </c>
      <c r="C252">
        <v>2025</v>
      </c>
      <c r="D252" t="s">
        <v>52</v>
      </c>
      <c r="E252" t="s">
        <v>214</v>
      </c>
      <c r="F252">
        <v>47</v>
      </c>
      <c r="G252" t="s">
        <v>193</v>
      </c>
      <c r="H252" t="b">
        <v>1</v>
      </c>
      <c r="I252">
        <v>1</v>
      </c>
      <c r="J252" t="s">
        <v>194</v>
      </c>
      <c r="K252" s="40" t="b">
        <v>0</v>
      </c>
      <c r="L252" t="s">
        <v>203</v>
      </c>
      <c r="P252">
        <v>8</v>
      </c>
    </row>
    <row r="253" spans="1:16" x14ac:dyDescent="0.3">
      <c r="A253" t="s">
        <v>0</v>
      </c>
      <c r="B253" s="25" t="s">
        <v>1</v>
      </c>
      <c r="C253">
        <v>2025</v>
      </c>
      <c r="D253" t="s">
        <v>53</v>
      </c>
      <c r="E253" t="s">
        <v>214</v>
      </c>
      <c r="F253">
        <v>33</v>
      </c>
      <c r="G253" t="s">
        <v>193</v>
      </c>
      <c r="H253" t="b">
        <v>1</v>
      </c>
      <c r="I253">
        <v>1</v>
      </c>
      <c r="J253" t="s">
        <v>194</v>
      </c>
      <c r="K253" s="40" t="b">
        <v>0</v>
      </c>
      <c r="L253" t="s">
        <v>203</v>
      </c>
      <c r="P253">
        <v>9</v>
      </c>
    </row>
    <row r="254" spans="1:16" x14ac:dyDescent="0.3">
      <c r="A254" t="s">
        <v>0</v>
      </c>
      <c r="B254" s="25" t="s">
        <v>1</v>
      </c>
      <c r="C254">
        <v>2025</v>
      </c>
      <c r="D254" t="s">
        <v>54</v>
      </c>
      <c r="E254" t="s">
        <v>214</v>
      </c>
      <c r="F254">
        <v>49</v>
      </c>
      <c r="G254" t="s">
        <v>193</v>
      </c>
      <c r="H254" t="b">
        <v>1</v>
      </c>
      <c r="I254">
        <v>1</v>
      </c>
      <c r="J254" t="s">
        <v>194</v>
      </c>
      <c r="K254" s="40" t="b">
        <v>0</v>
      </c>
      <c r="L254" t="s">
        <v>203</v>
      </c>
      <c r="P254">
        <v>10</v>
      </c>
    </row>
    <row r="255" spans="1:16" x14ac:dyDescent="0.3">
      <c r="A255" t="s">
        <v>0</v>
      </c>
      <c r="B255" s="25" t="s">
        <v>1</v>
      </c>
      <c r="C255">
        <v>2025</v>
      </c>
      <c r="D255" t="s">
        <v>55</v>
      </c>
      <c r="E255" t="s">
        <v>214</v>
      </c>
      <c r="F255">
        <v>21</v>
      </c>
      <c r="G255" t="s">
        <v>193</v>
      </c>
      <c r="H255" t="b">
        <v>1</v>
      </c>
      <c r="I255">
        <v>1</v>
      </c>
      <c r="J255" t="s">
        <v>194</v>
      </c>
      <c r="K255" s="40" t="b">
        <v>0</v>
      </c>
      <c r="L255" t="s">
        <v>203</v>
      </c>
      <c r="P255">
        <v>11</v>
      </c>
    </row>
    <row r="256" spans="1:16" x14ac:dyDescent="0.3">
      <c r="A256" t="s">
        <v>0</v>
      </c>
      <c r="B256" s="25" t="s">
        <v>1</v>
      </c>
      <c r="C256">
        <v>2025</v>
      </c>
      <c r="D256" t="s">
        <v>56</v>
      </c>
      <c r="E256" t="s">
        <v>214</v>
      </c>
      <c r="F256">
        <v>37</v>
      </c>
      <c r="G256" t="s">
        <v>193</v>
      </c>
      <c r="H256" t="b">
        <v>1</v>
      </c>
      <c r="I256">
        <v>1</v>
      </c>
      <c r="J256" t="s">
        <v>194</v>
      </c>
      <c r="K256" s="40" t="b">
        <v>0</v>
      </c>
      <c r="L256" t="s">
        <v>203</v>
      </c>
      <c r="P256">
        <v>12</v>
      </c>
    </row>
    <row r="259" spans="1:16" x14ac:dyDescent="0.3">
      <c r="A259" t="s">
        <v>60</v>
      </c>
      <c r="B259" s="56" t="s">
        <v>61</v>
      </c>
      <c r="C259">
        <v>2025</v>
      </c>
      <c r="D259" t="s">
        <v>2</v>
      </c>
      <c r="E259" t="s">
        <v>202</v>
      </c>
      <c r="F259">
        <v>102</v>
      </c>
      <c r="G259" t="s">
        <v>193</v>
      </c>
      <c r="H259" t="b">
        <v>1</v>
      </c>
      <c r="I259">
        <v>1</v>
      </c>
      <c r="J259" t="s">
        <v>194</v>
      </c>
      <c r="K259" s="40" t="b">
        <v>0</v>
      </c>
      <c r="L259" t="s">
        <v>203</v>
      </c>
      <c r="P259">
        <v>1</v>
      </c>
    </row>
    <row r="260" spans="1:16" x14ac:dyDescent="0.3">
      <c r="A260" t="s">
        <v>60</v>
      </c>
      <c r="B260" s="56" t="s">
        <v>61</v>
      </c>
      <c r="C260">
        <v>2025</v>
      </c>
      <c r="D260" t="s">
        <v>46</v>
      </c>
      <c r="E260" t="s">
        <v>202</v>
      </c>
      <c r="F260">
        <v>58</v>
      </c>
      <c r="G260" t="s">
        <v>193</v>
      </c>
      <c r="H260" t="b">
        <v>1</v>
      </c>
      <c r="I260">
        <v>1</v>
      </c>
      <c r="J260" t="s">
        <v>194</v>
      </c>
      <c r="K260" s="40" t="b">
        <v>0</v>
      </c>
      <c r="L260" t="s">
        <v>203</v>
      </c>
      <c r="P260">
        <v>2</v>
      </c>
    </row>
    <row r="261" spans="1:16" x14ac:dyDescent="0.3">
      <c r="A261" t="s">
        <v>60</v>
      </c>
      <c r="B261" s="56" t="s">
        <v>61</v>
      </c>
      <c r="C261">
        <v>2025</v>
      </c>
      <c r="D261" t="s">
        <v>47</v>
      </c>
      <c r="E261" t="s">
        <v>202</v>
      </c>
      <c r="F261">
        <v>55</v>
      </c>
      <c r="G261" t="s">
        <v>193</v>
      </c>
      <c r="H261" t="b">
        <v>1</v>
      </c>
      <c r="I261">
        <v>1</v>
      </c>
      <c r="J261" t="s">
        <v>194</v>
      </c>
      <c r="K261" s="40" t="b">
        <v>0</v>
      </c>
      <c r="L261" t="s">
        <v>203</v>
      </c>
      <c r="P261">
        <v>3</v>
      </c>
    </row>
    <row r="262" spans="1:16" x14ac:dyDescent="0.3">
      <c r="A262" t="s">
        <v>60</v>
      </c>
      <c r="B262" s="56" t="s">
        <v>61</v>
      </c>
      <c r="C262">
        <v>2025</v>
      </c>
      <c r="D262" t="s">
        <v>48</v>
      </c>
      <c r="E262" t="s">
        <v>202</v>
      </c>
      <c r="F262">
        <v>62</v>
      </c>
      <c r="G262" t="s">
        <v>193</v>
      </c>
      <c r="H262" t="b">
        <v>1</v>
      </c>
      <c r="I262">
        <v>1</v>
      </c>
      <c r="J262" t="s">
        <v>194</v>
      </c>
      <c r="K262" s="40" t="b">
        <v>0</v>
      </c>
      <c r="L262" t="s">
        <v>203</v>
      </c>
      <c r="P262">
        <v>4</v>
      </c>
    </row>
    <row r="263" spans="1:16" x14ac:dyDescent="0.3">
      <c r="A263" t="s">
        <v>60</v>
      </c>
      <c r="B263" s="56" t="s">
        <v>61</v>
      </c>
      <c r="C263">
        <v>2025</v>
      </c>
      <c r="D263" t="s">
        <v>49</v>
      </c>
      <c r="E263" t="s">
        <v>202</v>
      </c>
      <c r="F263">
        <v>65</v>
      </c>
      <c r="G263" t="s">
        <v>193</v>
      </c>
      <c r="H263" t="b">
        <v>1</v>
      </c>
      <c r="I263">
        <v>1</v>
      </c>
      <c r="J263" t="s">
        <v>194</v>
      </c>
      <c r="K263" s="40" t="b">
        <v>0</v>
      </c>
      <c r="L263" t="s">
        <v>203</v>
      </c>
      <c r="P263">
        <v>5</v>
      </c>
    </row>
    <row r="264" spans="1:16" x14ac:dyDescent="0.3">
      <c r="A264" t="s">
        <v>60</v>
      </c>
      <c r="B264" s="56" t="s">
        <v>61</v>
      </c>
      <c r="C264">
        <v>2025</v>
      </c>
      <c r="D264" t="s">
        <v>50</v>
      </c>
      <c r="E264" t="s">
        <v>202</v>
      </c>
      <c r="F264">
        <v>26</v>
      </c>
      <c r="G264" t="s">
        <v>193</v>
      </c>
      <c r="H264" t="b">
        <v>1</v>
      </c>
      <c r="I264">
        <v>1</v>
      </c>
      <c r="J264" t="s">
        <v>194</v>
      </c>
      <c r="K264" s="40" t="b">
        <v>0</v>
      </c>
      <c r="L264" t="s">
        <v>203</v>
      </c>
      <c r="P264">
        <v>6</v>
      </c>
    </row>
    <row r="265" spans="1:16" x14ac:dyDescent="0.3">
      <c r="A265" t="s">
        <v>60</v>
      </c>
      <c r="B265" s="56" t="s">
        <v>61</v>
      </c>
      <c r="C265">
        <v>2025</v>
      </c>
      <c r="D265" t="s">
        <v>51</v>
      </c>
      <c r="E265" t="s">
        <v>202</v>
      </c>
      <c r="F265">
        <v>23</v>
      </c>
      <c r="G265" t="s">
        <v>193</v>
      </c>
      <c r="H265" t="b">
        <v>1</v>
      </c>
      <c r="I265">
        <v>1</v>
      </c>
      <c r="J265" t="s">
        <v>194</v>
      </c>
      <c r="K265" s="40" t="b">
        <v>0</v>
      </c>
      <c r="L265" t="s">
        <v>203</v>
      </c>
      <c r="P265">
        <v>7</v>
      </c>
    </row>
    <row r="266" spans="1:16" x14ac:dyDescent="0.3">
      <c r="A266" t="s">
        <v>60</v>
      </c>
      <c r="B266" s="56" t="s">
        <v>61</v>
      </c>
      <c r="C266">
        <v>2025</v>
      </c>
      <c r="D266" t="s">
        <v>52</v>
      </c>
      <c r="E266" t="s">
        <v>202</v>
      </c>
      <c r="F266">
        <v>20</v>
      </c>
      <c r="G266" t="s">
        <v>193</v>
      </c>
      <c r="H266" t="b">
        <v>1</v>
      </c>
      <c r="I266">
        <v>1</v>
      </c>
      <c r="J266" t="s">
        <v>194</v>
      </c>
      <c r="K266" s="40" t="b">
        <v>0</v>
      </c>
      <c r="L266" t="s">
        <v>203</v>
      </c>
      <c r="P266">
        <v>8</v>
      </c>
    </row>
    <row r="267" spans="1:16" x14ac:dyDescent="0.3">
      <c r="A267" t="s">
        <v>60</v>
      </c>
      <c r="B267" s="56" t="s">
        <v>61</v>
      </c>
      <c r="C267">
        <v>2025</v>
      </c>
      <c r="D267" t="s">
        <v>53</v>
      </c>
      <c r="E267" t="s">
        <v>202</v>
      </c>
      <c r="F267">
        <v>50</v>
      </c>
      <c r="G267" t="s">
        <v>193</v>
      </c>
      <c r="H267" t="b">
        <v>1</v>
      </c>
      <c r="I267">
        <v>1</v>
      </c>
      <c r="J267" t="s">
        <v>194</v>
      </c>
      <c r="K267" s="40" t="b">
        <v>0</v>
      </c>
      <c r="L267" t="s">
        <v>203</v>
      </c>
      <c r="P267">
        <v>9</v>
      </c>
    </row>
    <row r="268" spans="1:16" x14ac:dyDescent="0.3">
      <c r="A268" t="s">
        <v>60</v>
      </c>
      <c r="B268" s="56" t="s">
        <v>61</v>
      </c>
      <c r="C268">
        <v>2025</v>
      </c>
      <c r="D268" t="s">
        <v>54</v>
      </c>
      <c r="E268" t="s">
        <v>202</v>
      </c>
      <c r="F268">
        <v>112</v>
      </c>
      <c r="G268" t="s">
        <v>193</v>
      </c>
      <c r="H268" t="b">
        <v>1</v>
      </c>
      <c r="I268">
        <v>1</v>
      </c>
      <c r="J268" t="s">
        <v>194</v>
      </c>
      <c r="K268" s="40" t="b">
        <v>0</v>
      </c>
      <c r="L268" t="s">
        <v>203</v>
      </c>
      <c r="P268">
        <v>10</v>
      </c>
    </row>
    <row r="269" spans="1:16" x14ac:dyDescent="0.3">
      <c r="A269" t="s">
        <v>60</v>
      </c>
      <c r="B269" s="56" t="s">
        <v>61</v>
      </c>
      <c r="C269">
        <v>2025</v>
      </c>
      <c r="D269" t="s">
        <v>55</v>
      </c>
      <c r="E269" t="s">
        <v>202</v>
      </c>
      <c r="F269">
        <v>34</v>
      </c>
      <c r="G269" t="s">
        <v>193</v>
      </c>
      <c r="H269" t="b">
        <v>1</v>
      </c>
      <c r="I269">
        <v>1</v>
      </c>
      <c r="J269" t="s">
        <v>194</v>
      </c>
      <c r="K269" s="40" t="b">
        <v>0</v>
      </c>
      <c r="L269" t="s">
        <v>203</v>
      </c>
      <c r="P269">
        <v>11</v>
      </c>
    </row>
    <row r="270" spans="1:16" x14ac:dyDescent="0.3">
      <c r="A270" t="s">
        <v>60</v>
      </c>
      <c r="B270" s="56" t="s">
        <v>61</v>
      </c>
      <c r="C270">
        <v>2025</v>
      </c>
      <c r="D270" t="s">
        <v>56</v>
      </c>
      <c r="E270" t="s">
        <v>202</v>
      </c>
      <c r="F270">
        <v>77</v>
      </c>
      <c r="G270" t="s">
        <v>193</v>
      </c>
      <c r="H270" t="b">
        <v>1</v>
      </c>
      <c r="I270">
        <v>1</v>
      </c>
      <c r="J270" t="s">
        <v>194</v>
      </c>
      <c r="K270" s="40" t="b">
        <v>0</v>
      </c>
      <c r="L270" t="s">
        <v>203</v>
      </c>
      <c r="P270">
        <v>12</v>
      </c>
    </row>
    <row r="271" spans="1:16" x14ac:dyDescent="0.3">
      <c r="B271" s="56"/>
      <c r="K271" s="40"/>
    </row>
    <row r="272" spans="1:16" x14ac:dyDescent="0.3">
      <c r="A272" t="s">
        <v>60</v>
      </c>
      <c r="B272" s="56" t="s">
        <v>61</v>
      </c>
      <c r="C272">
        <v>2025</v>
      </c>
      <c r="D272" t="s">
        <v>2</v>
      </c>
      <c r="E272" t="s">
        <v>204</v>
      </c>
      <c r="F272">
        <v>81</v>
      </c>
      <c r="G272" t="s">
        <v>193</v>
      </c>
      <c r="H272" t="b">
        <v>1</v>
      </c>
      <c r="I272">
        <v>1</v>
      </c>
      <c r="J272" t="s">
        <v>194</v>
      </c>
      <c r="K272" s="40" t="b">
        <v>0</v>
      </c>
      <c r="L272" t="s">
        <v>203</v>
      </c>
      <c r="P272">
        <v>1</v>
      </c>
    </row>
    <row r="273" spans="1:16" x14ac:dyDescent="0.3">
      <c r="A273" t="s">
        <v>60</v>
      </c>
      <c r="B273" s="56" t="s">
        <v>61</v>
      </c>
      <c r="C273">
        <v>2025</v>
      </c>
      <c r="D273" t="s">
        <v>46</v>
      </c>
      <c r="E273" t="s">
        <v>204</v>
      </c>
      <c r="F273">
        <v>117</v>
      </c>
      <c r="G273" t="s">
        <v>193</v>
      </c>
      <c r="H273" t="b">
        <v>1</v>
      </c>
      <c r="I273">
        <v>1</v>
      </c>
      <c r="J273" t="s">
        <v>194</v>
      </c>
      <c r="K273" s="40" t="b">
        <v>0</v>
      </c>
      <c r="L273" t="s">
        <v>203</v>
      </c>
      <c r="P273">
        <v>2</v>
      </c>
    </row>
    <row r="274" spans="1:16" x14ac:dyDescent="0.3">
      <c r="A274" t="s">
        <v>60</v>
      </c>
      <c r="B274" s="56" t="s">
        <v>61</v>
      </c>
      <c r="C274">
        <v>2025</v>
      </c>
      <c r="D274" t="s">
        <v>47</v>
      </c>
      <c r="E274" t="s">
        <v>204</v>
      </c>
      <c r="F274">
        <v>107</v>
      </c>
      <c r="G274" t="s">
        <v>193</v>
      </c>
      <c r="H274" t="b">
        <v>1</v>
      </c>
      <c r="I274">
        <v>1</v>
      </c>
      <c r="J274" t="s">
        <v>194</v>
      </c>
      <c r="K274" s="40" t="b">
        <v>0</v>
      </c>
      <c r="L274" t="s">
        <v>203</v>
      </c>
      <c r="P274">
        <v>3</v>
      </c>
    </row>
    <row r="275" spans="1:16" x14ac:dyDescent="0.3">
      <c r="A275" t="s">
        <v>60</v>
      </c>
      <c r="B275" s="56" t="s">
        <v>61</v>
      </c>
      <c r="C275">
        <v>2025</v>
      </c>
      <c r="D275" t="s">
        <v>48</v>
      </c>
      <c r="E275" t="s">
        <v>204</v>
      </c>
      <c r="F275">
        <v>113</v>
      </c>
      <c r="G275" t="s">
        <v>193</v>
      </c>
      <c r="H275" t="b">
        <v>1</v>
      </c>
      <c r="I275">
        <v>1</v>
      </c>
      <c r="J275" t="s">
        <v>194</v>
      </c>
      <c r="K275" s="40" t="b">
        <v>0</v>
      </c>
      <c r="L275" t="s">
        <v>203</v>
      </c>
      <c r="P275">
        <v>4</v>
      </c>
    </row>
    <row r="276" spans="1:16" x14ac:dyDescent="0.3">
      <c r="A276" t="s">
        <v>60</v>
      </c>
      <c r="B276" s="56" t="s">
        <v>61</v>
      </c>
      <c r="C276">
        <v>2025</v>
      </c>
      <c r="D276" t="s">
        <v>49</v>
      </c>
      <c r="E276" t="s">
        <v>204</v>
      </c>
      <c r="F276">
        <v>91</v>
      </c>
      <c r="G276" t="s">
        <v>193</v>
      </c>
      <c r="H276" t="b">
        <v>1</v>
      </c>
      <c r="I276">
        <v>1</v>
      </c>
      <c r="J276" t="s">
        <v>194</v>
      </c>
      <c r="K276" s="40" t="b">
        <v>0</v>
      </c>
      <c r="L276" t="s">
        <v>203</v>
      </c>
      <c r="P276">
        <v>5</v>
      </c>
    </row>
    <row r="277" spans="1:16" x14ac:dyDescent="0.3">
      <c r="A277" t="s">
        <v>60</v>
      </c>
      <c r="B277" s="56" t="s">
        <v>61</v>
      </c>
      <c r="C277">
        <v>2025</v>
      </c>
      <c r="D277" t="s">
        <v>50</v>
      </c>
      <c r="E277" t="s">
        <v>204</v>
      </c>
      <c r="F277">
        <v>86</v>
      </c>
      <c r="G277" t="s">
        <v>193</v>
      </c>
      <c r="H277" t="b">
        <v>1</v>
      </c>
      <c r="I277">
        <v>1</v>
      </c>
      <c r="J277" t="s">
        <v>194</v>
      </c>
      <c r="K277" s="40" t="b">
        <v>0</v>
      </c>
      <c r="L277" t="s">
        <v>203</v>
      </c>
      <c r="P277">
        <v>6</v>
      </c>
    </row>
    <row r="278" spans="1:16" x14ac:dyDescent="0.3">
      <c r="A278" t="s">
        <v>60</v>
      </c>
      <c r="B278" s="56" t="s">
        <v>61</v>
      </c>
      <c r="C278">
        <v>2025</v>
      </c>
      <c r="D278" t="s">
        <v>51</v>
      </c>
      <c r="E278" t="s">
        <v>204</v>
      </c>
      <c r="F278">
        <v>53</v>
      </c>
      <c r="G278" t="s">
        <v>193</v>
      </c>
      <c r="H278" t="b">
        <v>1</v>
      </c>
      <c r="I278">
        <v>1</v>
      </c>
      <c r="J278" t="s">
        <v>194</v>
      </c>
      <c r="K278" s="40" t="b">
        <v>0</v>
      </c>
      <c r="L278" t="s">
        <v>203</v>
      </c>
      <c r="P278">
        <v>7</v>
      </c>
    </row>
    <row r="279" spans="1:16" x14ac:dyDescent="0.3">
      <c r="A279" t="s">
        <v>60</v>
      </c>
      <c r="B279" s="56" t="s">
        <v>61</v>
      </c>
      <c r="C279">
        <v>2025</v>
      </c>
      <c r="D279" t="s">
        <v>52</v>
      </c>
      <c r="E279" t="s">
        <v>204</v>
      </c>
      <c r="F279">
        <v>72</v>
      </c>
      <c r="G279" t="s">
        <v>193</v>
      </c>
      <c r="H279" t="b">
        <v>1</v>
      </c>
      <c r="I279">
        <v>1</v>
      </c>
      <c r="J279" t="s">
        <v>194</v>
      </c>
      <c r="K279" s="40" t="b">
        <v>0</v>
      </c>
      <c r="L279" t="s">
        <v>203</v>
      </c>
      <c r="P279">
        <v>8</v>
      </c>
    </row>
    <row r="280" spans="1:16" x14ac:dyDescent="0.3">
      <c r="A280" t="s">
        <v>60</v>
      </c>
      <c r="B280" s="56" t="s">
        <v>61</v>
      </c>
      <c r="C280">
        <v>2025</v>
      </c>
      <c r="D280" t="s">
        <v>53</v>
      </c>
      <c r="E280" t="s">
        <v>204</v>
      </c>
      <c r="F280">
        <v>51</v>
      </c>
      <c r="G280" t="s">
        <v>193</v>
      </c>
      <c r="H280" t="b">
        <v>1</v>
      </c>
      <c r="I280">
        <v>1</v>
      </c>
      <c r="J280" t="s">
        <v>194</v>
      </c>
      <c r="K280" s="40" t="b">
        <v>0</v>
      </c>
      <c r="L280" t="s">
        <v>203</v>
      </c>
      <c r="P280">
        <v>9</v>
      </c>
    </row>
    <row r="281" spans="1:16" x14ac:dyDescent="0.3">
      <c r="A281" t="s">
        <v>60</v>
      </c>
      <c r="B281" s="56" t="s">
        <v>61</v>
      </c>
      <c r="C281">
        <v>2025</v>
      </c>
      <c r="D281" t="s">
        <v>54</v>
      </c>
      <c r="E281" t="s">
        <v>204</v>
      </c>
      <c r="F281">
        <v>116</v>
      </c>
      <c r="G281" t="s">
        <v>193</v>
      </c>
      <c r="H281" t="b">
        <v>1</v>
      </c>
      <c r="I281">
        <v>1</v>
      </c>
      <c r="J281" t="s">
        <v>194</v>
      </c>
      <c r="K281" s="40" t="b">
        <v>0</v>
      </c>
      <c r="L281" t="s">
        <v>203</v>
      </c>
      <c r="P281">
        <v>10</v>
      </c>
    </row>
    <row r="282" spans="1:16" x14ac:dyDescent="0.3">
      <c r="A282" t="s">
        <v>60</v>
      </c>
      <c r="B282" s="56" t="s">
        <v>61</v>
      </c>
      <c r="C282">
        <v>2025</v>
      </c>
      <c r="D282" t="s">
        <v>55</v>
      </c>
      <c r="E282" t="s">
        <v>204</v>
      </c>
      <c r="F282">
        <v>43</v>
      </c>
      <c r="G282" t="s">
        <v>193</v>
      </c>
      <c r="H282" t="b">
        <v>1</v>
      </c>
      <c r="I282">
        <v>1</v>
      </c>
      <c r="J282" t="s">
        <v>194</v>
      </c>
      <c r="K282" s="40" t="b">
        <v>0</v>
      </c>
      <c r="L282" t="s">
        <v>203</v>
      </c>
      <c r="P282">
        <v>11</v>
      </c>
    </row>
    <row r="283" spans="1:16" x14ac:dyDescent="0.3">
      <c r="A283" t="s">
        <v>60</v>
      </c>
      <c r="B283" s="56" t="s">
        <v>61</v>
      </c>
      <c r="C283">
        <v>2025</v>
      </c>
      <c r="D283" t="s">
        <v>56</v>
      </c>
      <c r="E283" t="s">
        <v>204</v>
      </c>
      <c r="F283">
        <v>105</v>
      </c>
      <c r="G283" t="s">
        <v>193</v>
      </c>
      <c r="H283" t="b">
        <v>1</v>
      </c>
      <c r="I283">
        <v>1</v>
      </c>
      <c r="J283" t="s">
        <v>194</v>
      </c>
      <c r="K283" s="40" t="b">
        <v>0</v>
      </c>
      <c r="L283" t="s">
        <v>203</v>
      </c>
      <c r="P283">
        <v>12</v>
      </c>
    </row>
    <row r="284" spans="1:16" x14ac:dyDescent="0.3">
      <c r="B284" s="56"/>
      <c r="K284" s="40"/>
    </row>
    <row r="285" spans="1:16" x14ac:dyDescent="0.3">
      <c r="A285" t="s">
        <v>60</v>
      </c>
      <c r="B285" s="56" t="s">
        <v>61</v>
      </c>
      <c r="C285">
        <v>2025</v>
      </c>
      <c r="D285" t="s">
        <v>2</v>
      </c>
      <c r="E285" t="s">
        <v>206</v>
      </c>
      <c r="F285">
        <v>99</v>
      </c>
      <c r="G285" t="s">
        <v>193</v>
      </c>
      <c r="H285" t="b">
        <v>1</v>
      </c>
      <c r="I285">
        <v>1</v>
      </c>
      <c r="J285" t="s">
        <v>194</v>
      </c>
      <c r="K285" s="40" t="b">
        <v>0</v>
      </c>
      <c r="L285" t="s">
        <v>207</v>
      </c>
      <c r="P285">
        <v>1</v>
      </c>
    </row>
    <row r="286" spans="1:16" x14ac:dyDescent="0.3">
      <c r="A286" t="s">
        <v>60</v>
      </c>
      <c r="B286" s="56" t="s">
        <v>61</v>
      </c>
      <c r="C286">
        <v>2025</v>
      </c>
      <c r="D286" t="s">
        <v>46</v>
      </c>
      <c r="E286" t="s">
        <v>206</v>
      </c>
      <c r="F286">
        <v>55</v>
      </c>
      <c r="G286" t="s">
        <v>193</v>
      </c>
      <c r="H286" t="b">
        <v>1</v>
      </c>
      <c r="I286">
        <v>1</v>
      </c>
      <c r="J286" t="s">
        <v>194</v>
      </c>
      <c r="K286" s="40" t="b">
        <v>0</v>
      </c>
      <c r="L286" t="s">
        <v>207</v>
      </c>
      <c r="P286">
        <v>2</v>
      </c>
    </row>
    <row r="287" spans="1:16" x14ac:dyDescent="0.3">
      <c r="A287" t="s">
        <v>60</v>
      </c>
      <c r="B287" s="56" t="s">
        <v>61</v>
      </c>
      <c r="C287">
        <v>2025</v>
      </c>
      <c r="D287" t="s">
        <v>47</v>
      </c>
      <c r="E287" t="s">
        <v>206</v>
      </c>
      <c r="F287">
        <v>82</v>
      </c>
      <c r="G287" t="s">
        <v>193</v>
      </c>
      <c r="H287" t="b">
        <v>1</v>
      </c>
      <c r="I287">
        <v>1</v>
      </c>
      <c r="J287" t="s">
        <v>194</v>
      </c>
      <c r="K287" s="40" t="b">
        <v>0</v>
      </c>
      <c r="L287" t="s">
        <v>207</v>
      </c>
      <c r="P287">
        <v>3</v>
      </c>
    </row>
    <row r="288" spans="1:16" x14ac:dyDescent="0.3">
      <c r="A288" t="s">
        <v>60</v>
      </c>
      <c r="B288" s="56" t="s">
        <v>61</v>
      </c>
      <c r="C288">
        <v>2025</v>
      </c>
      <c r="D288" t="s">
        <v>48</v>
      </c>
      <c r="E288" t="s">
        <v>206</v>
      </c>
      <c r="F288">
        <v>118</v>
      </c>
      <c r="G288" t="s">
        <v>193</v>
      </c>
      <c r="H288" t="b">
        <v>1</v>
      </c>
      <c r="I288">
        <v>1</v>
      </c>
      <c r="J288" t="s">
        <v>194</v>
      </c>
      <c r="K288" s="40" t="b">
        <v>0</v>
      </c>
      <c r="L288" t="s">
        <v>207</v>
      </c>
      <c r="P288">
        <v>4</v>
      </c>
    </row>
    <row r="289" spans="1:16" x14ac:dyDescent="0.3">
      <c r="A289" t="s">
        <v>60</v>
      </c>
      <c r="B289" s="56" t="s">
        <v>61</v>
      </c>
      <c r="C289">
        <v>2025</v>
      </c>
      <c r="D289" t="s">
        <v>49</v>
      </c>
      <c r="E289" t="s">
        <v>206</v>
      </c>
      <c r="F289">
        <v>34</v>
      </c>
      <c r="G289" t="s">
        <v>193</v>
      </c>
      <c r="H289" t="b">
        <v>1</v>
      </c>
      <c r="I289">
        <v>1</v>
      </c>
      <c r="J289" t="s">
        <v>194</v>
      </c>
      <c r="K289" s="40" t="b">
        <v>0</v>
      </c>
      <c r="L289" t="s">
        <v>207</v>
      </c>
      <c r="P289">
        <v>5</v>
      </c>
    </row>
    <row r="290" spans="1:16" x14ac:dyDescent="0.3">
      <c r="A290" t="s">
        <v>60</v>
      </c>
      <c r="B290" s="56" t="s">
        <v>61</v>
      </c>
      <c r="C290">
        <v>2025</v>
      </c>
      <c r="D290" t="s">
        <v>50</v>
      </c>
      <c r="E290" t="s">
        <v>206</v>
      </c>
      <c r="F290">
        <v>36</v>
      </c>
      <c r="G290" t="s">
        <v>193</v>
      </c>
      <c r="H290" t="b">
        <v>1</v>
      </c>
      <c r="I290">
        <v>1</v>
      </c>
      <c r="J290" t="s">
        <v>194</v>
      </c>
      <c r="K290" s="40" t="b">
        <v>0</v>
      </c>
      <c r="L290" t="s">
        <v>207</v>
      </c>
      <c r="P290">
        <v>6</v>
      </c>
    </row>
    <row r="291" spans="1:16" x14ac:dyDescent="0.3">
      <c r="A291" t="s">
        <v>60</v>
      </c>
      <c r="B291" s="56" t="s">
        <v>61</v>
      </c>
      <c r="C291">
        <v>2025</v>
      </c>
      <c r="D291" t="s">
        <v>51</v>
      </c>
      <c r="E291" t="s">
        <v>206</v>
      </c>
      <c r="F291">
        <v>53</v>
      </c>
      <c r="G291" t="s">
        <v>193</v>
      </c>
      <c r="H291" t="b">
        <v>1</v>
      </c>
      <c r="I291">
        <v>1</v>
      </c>
      <c r="J291" t="s">
        <v>194</v>
      </c>
      <c r="K291" s="40" t="b">
        <v>0</v>
      </c>
      <c r="L291" t="s">
        <v>207</v>
      </c>
      <c r="P291">
        <v>7</v>
      </c>
    </row>
    <row r="292" spans="1:16" x14ac:dyDescent="0.3">
      <c r="A292" t="s">
        <v>60</v>
      </c>
      <c r="B292" s="56" t="s">
        <v>61</v>
      </c>
      <c r="C292">
        <v>2025</v>
      </c>
      <c r="D292" t="s">
        <v>52</v>
      </c>
      <c r="E292" t="s">
        <v>206</v>
      </c>
      <c r="F292">
        <v>82</v>
      </c>
      <c r="G292" t="s">
        <v>193</v>
      </c>
      <c r="H292" t="b">
        <v>1</v>
      </c>
      <c r="I292">
        <v>1</v>
      </c>
      <c r="J292" t="s">
        <v>194</v>
      </c>
      <c r="K292" s="40" t="b">
        <v>0</v>
      </c>
      <c r="L292" t="s">
        <v>207</v>
      </c>
      <c r="P292">
        <v>8</v>
      </c>
    </row>
    <row r="293" spans="1:16" x14ac:dyDescent="0.3">
      <c r="A293" t="s">
        <v>60</v>
      </c>
      <c r="B293" s="56" t="s">
        <v>61</v>
      </c>
      <c r="C293">
        <v>2025</v>
      </c>
      <c r="D293" t="s">
        <v>53</v>
      </c>
      <c r="E293" t="s">
        <v>206</v>
      </c>
      <c r="F293">
        <v>25</v>
      </c>
      <c r="G293" t="s">
        <v>193</v>
      </c>
      <c r="H293" t="b">
        <v>1</v>
      </c>
      <c r="I293">
        <v>1</v>
      </c>
      <c r="J293" t="s">
        <v>194</v>
      </c>
      <c r="K293" s="40" t="b">
        <v>0</v>
      </c>
      <c r="L293" t="s">
        <v>207</v>
      </c>
      <c r="P293">
        <v>9</v>
      </c>
    </row>
    <row r="294" spans="1:16" x14ac:dyDescent="0.3">
      <c r="A294" t="s">
        <v>60</v>
      </c>
      <c r="B294" s="56" t="s">
        <v>61</v>
      </c>
      <c r="C294">
        <v>2025</v>
      </c>
      <c r="D294" t="s">
        <v>54</v>
      </c>
      <c r="E294" t="s">
        <v>206</v>
      </c>
      <c r="F294">
        <v>90</v>
      </c>
      <c r="G294" t="s">
        <v>193</v>
      </c>
      <c r="H294" t="b">
        <v>1</v>
      </c>
      <c r="I294">
        <v>1</v>
      </c>
      <c r="J294" t="s">
        <v>194</v>
      </c>
      <c r="K294" s="40" t="b">
        <v>0</v>
      </c>
      <c r="L294" t="s">
        <v>207</v>
      </c>
      <c r="P294">
        <v>10</v>
      </c>
    </row>
    <row r="295" spans="1:16" x14ac:dyDescent="0.3">
      <c r="A295" t="s">
        <v>60</v>
      </c>
      <c r="B295" s="56" t="s">
        <v>61</v>
      </c>
      <c r="C295">
        <v>2025</v>
      </c>
      <c r="D295" t="s">
        <v>55</v>
      </c>
      <c r="E295" t="s">
        <v>206</v>
      </c>
      <c r="F295">
        <v>79</v>
      </c>
      <c r="G295" t="s">
        <v>193</v>
      </c>
      <c r="H295" t="b">
        <v>1</v>
      </c>
      <c r="I295">
        <v>1</v>
      </c>
      <c r="J295" t="s">
        <v>194</v>
      </c>
      <c r="K295" s="40" t="b">
        <v>0</v>
      </c>
      <c r="L295" t="s">
        <v>207</v>
      </c>
      <c r="P295">
        <v>11</v>
      </c>
    </row>
    <row r="296" spans="1:16" x14ac:dyDescent="0.3">
      <c r="A296" t="s">
        <v>60</v>
      </c>
      <c r="B296" s="56" t="s">
        <v>61</v>
      </c>
      <c r="C296">
        <v>2025</v>
      </c>
      <c r="D296" t="s">
        <v>56</v>
      </c>
      <c r="E296" t="s">
        <v>206</v>
      </c>
      <c r="F296">
        <v>28</v>
      </c>
      <c r="G296" t="s">
        <v>193</v>
      </c>
      <c r="H296" t="b">
        <v>1</v>
      </c>
      <c r="I296">
        <v>1</v>
      </c>
      <c r="J296" t="s">
        <v>194</v>
      </c>
      <c r="K296" s="40" t="b">
        <v>0</v>
      </c>
      <c r="L296" t="s">
        <v>207</v>
      </c>
      <c r="P296">
        <v>12</v>
      </c>
    </row>
    <row r="297" spans="1:16" x14ac:dyDescent="0.3">
      <c r="B297" s="56"/>
      <c r="K297" s="40"/>
    </row>
    <row r="298" spans="1:16" x14ac:dyDescent="0.3">
      <c r="A298" t="s">
        <v>60</v>
      </c>
      <c r="B298" s="56" t="s">
        <v>61</v>
      </c>
      <c r="C298">
        <v>2025</v>
      </c>
      <c r="D298" t="s">
        <v>2</v>
      </c>
      <c r="E298" t="s">
        <v>208</v>
      </c>
      <c r="F298">
        <v>71</v>
      </c>
      <c r="G298" t="s">
        <v>193</v>
      </c>
      <c r="H298" t="b">
        <v>1</v>
      </c>
      <c r="I298">
        <v>1</v>
      </c>
      <c r="J298" t="s">
        <v>194</v>
      </c>
      <c r="K298" s="40" t="b">
        <v>0</v>
      </c>
      <c r="L298" t="s">
        <v>205</v>
      </c>
      <c r="P298">
        <v>1</v>
      </c>
    </row>
    <row r="299" spans="1:16" x14ac:dyDescent="0.3">
      <c r="A299" t="s">
        <v>60</v>
      </c>
      <c r="B299" s="56" t="s">
        <v>61</v>
      </c>
      <c r="C299">
        <v>2025</v>
      </c>
      <c r="D299" t="s">
        <v>46</v>
      </c>
      <c r="E299" t="s">
        <v>208</v>
      </c>
      <c r="F299">
        <v>103</v>
      </c>
      <c r="G299" t="s">
        <v>193</v>
      </c>
      <c r="H299" t="b">
        <v>1</v>
      </c>
      <c r="I299">
        <v>1</v>
      </c>
      <c r="J299" t="s">
        <v>194</v>
      </c>
      <c r="K299" s="40" t="b">
        <v>0</v>
      </c>
      <c r="L299" t="s">
        <v>205</v>
      </c>
      <c r="P299">
        <v>2</v>
      </c>
    </row>
    <row r="300" spans="1:16" x14ac:dyDescent="0.3">
      <c r="A300" t="s">
        <v>60</v>
      </c>
      <c r="B300" s="56" t="s">
        <v>61</v>
      </c>
      <c r="C300">
        <v>2025</v>
      </c>
      <c r="D300" t="s">
        <v>47</v>
      </c>
      <c r="E300" t="s">
        <v>208</v>
      </c>
      <c r="F300">
        <v>106</v>
      </c>
      <c r="G300" t="s">
        <v>193</v>
      </c>
      <c r="H300" t="b">
        <v>1</v>
      </c>
      <c r="I300">
        <v>1</v>
      </c>
      <c r="J300" t="s">
        <v>194</v>
      </c>
      <c r="K300" s="40" t="b">
        <v>0</v>
      </c>
      <c r="L300" t="s">
        <v>205</v>
      </c>
      <c r="P300">
        <v>3</v>
      </c>
    </row>
    <row r="301" spans="1:16" x14ac:dyDescent="0.3">
      <c r="A301" t="s">
        <v>60</v>
      </c>
      <c r="B301" s="56" t="s">
        <v>61</v>
      </c>
      <c r="C301">
        <v>2025</v>
      </c>
      <c r="D301" t="s">
        <v>48</v>
      </c>
      <c r="E301" t="s">
        <v>208</v>
      </c>
      <c r="F301">
        <v>111</v>
      </c>
      <c r="G301" t="s">
        <v>193</v>
      </c>
      <c r="H301" t="b">
        <v>1</v>
      </c>
      <c r="I301">
        <v>1</v>
      </c>
      <c r="J301" t="s">
        <v>194</v>
      </c>
      <c r="K301" s="40" t="b">
        <v>0</v>
      </c>
      <c r="L301" t="s">
        <v>205</v>
      </c>
      <c r="P301">
        <v>4</v>
      </c>
    </row>
    <row r="302" spans="1:16" x14ac:dyDescent="0.3">
      <c r="A302" t="s">
        <v>60</v>
      </c>
      <c r="B302" s="56" t="s">
        <v>61</v>
      </c>
      <c r="C302">
        <v>2025</v>
      </c>
      <c r="D302" t="s">
        <v>49</v>
      </c>
      <c r="E302" t="s">
        <v>208</v>
      </c>
      <c r="F302">
        <v>81</v>
      </c>
      <c r="G302" t="s">
        <v>193</v>
      </c>
      <c r="H302" t="b">
        <v>1</v>
      </c>
      <c r="I302">
        <v>1</v>
      </c>
      <c r="J302" t="s">
        <v>194</v>
      </c>
      <c r="K302" s="40" t="b">
        <v>0</v>
      </c>
      <c r="L302" t="s">
        <v>205</v>
      </c>
      <c r="P302">
        <v>5</v>
      </c>
    </row>
    <row r="303" spans="1:16" x14ac:dyDescent="0.3">
      <c r="A303" t="s">
        <v>60</v>
      </c>
      <c r="B303" s="56" t="s">
        <v>61</v>
      </c>
      <c r="C303">
        <v>2025</v>
      </c>
      <c r="D303" t="s">
        <v>50</v>
      </c>
      <c r="E303" t="s">
        <v>208</v>
      </c>
      <c r="F303">
        <v>86</v>
      </c>
      <c r="G303" t="s">
        <v>193</v>
      </c>
      <c r="H303" t="b">
        <v>1</v>
      </c>
      <c r="I303">
        <v>1</v>
      </c>
      <c r="J303" t="s">
        <v>194</v>
      </c>
      <c r="K303" s="40" t="b">
        <v>0</v>
      </c>
      <c r="L303" t="s">
        <v>205</v>
      </c>
      <c r="P303">
        <v>6</v>
      </c>
    </row>
    <row r="304" spans="1:16" x14ac:dyDescent="0.3">
      <c r="A304" t="s">
        <v>60</v>
      </c>
      <c r="B304" s="56" t="s">
        <v>61</v>
      </c>
      <c r="C304">
        <v>2025</v>
      </c>
      <c r="D304" t="s">
        <v>51</v>
      </c>
      <c r="E304" t="s">
        <v>208</v>
      </c>
      <c r="F304">
        <v>109</v>
      </c>
      <c r="G304" t="s">
        <v>193</v>
      </c>
      <c r="H304" t="b">
        <v>1</v>
      </c>
      <c r="I304">
        <v>1</v>
      </c>
      <c r="J304" t="s">
        <v>194</v>
      </c>
      <c r="K304" s="40" t="b">
        <v>0</v>
      </c>
      <c r="L304" t="s">
        <v>205</v>
      </c>
      <c r="P304">
        <v>7</v>
      </c>
    </row>
    <row r="305" spans="1:16" x14ac:dyDescent="0.3">
      <c r="A305" t="s">
        <v>60</v>
      </c>
      <c r="B305" s="56" t="s">
        <v>61</v>
      </c>
      <c r="C305">
        <v>2025</v>
      </c>
      <c r="D305" t="s">
        <v>52</v>
      </c>
      <c r="E305" t="s">
        <v>208</v>
      </c>
      <c r="F305">
        <v>100</v>
      </c>
      <c r="G305" t="s">
        <v>193</v>
      </c>
      <c r="H305" t="b">
        <v>1</v>
      </c>
      <c r="I305">
        <v>1</v>
      </c>
      <c r="J305" t="s">
        <v>194</v>
      </c>
      <c r="K305" s="40" t="b">
        <v>0</v>
      </c>
      <c r="L305" t="s">
        <v>205</v>
      </c>
      <c r="P305">
        <v>8</v>
      </c>
    </row>
    <row r="306" spans="1:16" x14ac:dyDescent="0.3">
      <c r="A306" t="s">
        <v>60</v>
      </c>
      <c r="B306" s="56" t="s">
        <v>61</v>
      </c>
      <c r="C306">
        <v>2025</v>
      </c>
      <c r="D306" t="s">
        <v>53</v>
      </c>
      <c r="E306" t="s">
        <v>208</v>
      </c>
      <c r="F306">
        <v>84</v>
      </c>
      <c r="G306" t="s">
        <v>193</v>
      </c>
      <c r="H306" t="b">
        <v>1</v>
      </c>
      <c r="I306">
        <v>1</v>
      </c>
      <c r="J306" t="s">
        <v>194</v>
      </c>
      <c r="K306" s="40" t="b">
        <v>0</v>
      </c>
      <c r="L306" t="s">
        <v>205</v>
      </c>
      <c r="P306">
        <v>9</v>
      </c>
    </row>
    <row r="307" spans="1:16" x14ac:dyDescent="0.3">
      <c r="A307" t="s">
        <v>60</v>
      </c>
      <c r="B307" s="56" t="s">
        <v>61</v>
      </c>
      <c r="C307">
        <v>2025</v>
      </c>
      <c r="D307" t="s">
        <v>54</v>
      </c>
      <c r="E307" t="s">
        <v>208</v>
      </c>
      <c r="F307">
        <v>70</v>
      </c>
      <c r="G307" t="s">
        <v>193</v>
      </c>
      <c r="H307" t="b">
        <v>1</v>
      </c>
      <c r="I307">
        <v>1</v>
      </c>
      <c r="J307" t="s">
        <v>194</v>
      </c>
      <c r="K307" s="40" t="b">
        <v>0</v>
      </c>
      <c r="L307" t="s">
        <v>205</v>
      </c>
      <c r="P307">
        <v>10</v>
      </c>
    </row>
    <row r="308" spans="1:16" x14ac:dyDescent="0.3">
      <c r="A308" t="s">
        <v>60</v>
      </c>
      <c r="B308" s="56" t="s">
        <v>61</v>
      </c>
      <c r="C308">
        <v>2025</v>
      </c>
      <c r="D308" t="s">
        <v>55</v>
      </c>
      <c r="E308" t="s">
        <v>208</v>
      </c>
      <c r="F308">
        <v>45</v>
      </c>
      <c r="G308" t="s">
        <v>193</v>
      </c>
      <c r="H308" t="b">
        <v>1</v>
      </c>
      <c r="I308">
        <v>1</v>
      </c>
      <c r="J308" t="s">
        <v>194</v>
      </c>
      <c r="K308" s="40" t="b">
        <v>0</v>
      </c>
      <c r="L308" t="s">
        <v>203</v>
      </c>
      <c r="P308">
        <v>11</v>
      </c>
    </row>
    <row r="309" spans="1:16" x14ac:dyDescent="0.3">
      <c r="A309" t="s">
        <v>60</v>
      </c>
      <c r="B309" s="56" t="s">
        <v>61</v>
      </c>
      <c r="C309">
        <v>2025</v>
      </c>
      <c r="D309" t="s">
        <v>56</v>
      </c>
      <c r="E309" t="s">
        <v>208</v>
      </c>
      <c r="F309">
        <v>54</v>
      </c>
      <c r="G309" t="s">
        <v>193</v>
      </c>
      <c r="H309" t="b">
        <v>1</v>
      </c>
      <c r="I309">
        <v>1</v>
      </c>
      <c r="J309" t="s">
        <v>194</v>
      </c>
      <c r="K309" s="40" t="b">
        <v>0</v>
      </c>
      <c r="L309" t="s">
        <v>205</v>
      </c>
      <c r="P309">
        <v>12</v>
      </c>
    </row>
    <row r="310" spans="1:16" x14ac:dyDescent="0.3">
      <c r="B310" s="56"/>
      <c r="K310" s="40"/>
    </row>
    <row r="311" spans="1:16" x14ac:dyDescent="0.3">
      <c r="A311" t="s">
        <v>60</v>
      </c>
      <c r="B311" s="56" t="s">
        <v>61</v>
      </c>
      <c r="C311">
        <v>2025</v>
      </c>
      <c r="D311" t="s">
        <v>2</v>
      </c>
      <c r="E311" t="s">
        <v>209</v>
      </c>
      <c r="F311">
        <v>86</v>
      </c>
      <c r="G311" t="s">
        <v>193</v>
      </c>
      <c r="H311" t="b">
        <v>1</v>
      </c>
      <c r="I311">
        <v>1</v>
      </c>
      <c r="J311" t="s">
        <v>194</v>
      </c>
      <c r="K311" s="40" t="b">
        <v>0</v>
      </c>
      <c r="L311" t="s">
        <v>203</v>
      </c>
      <c r="P311">
        <v>1</v>
      </c>
    </row>
    <row r="312" spans="1:16" x14ac:dyDescent="0.3">
      <c r="A312" t="s">
        <v>60</v>
      </c>
      <c r="B312" s="56" t="s">
        <v>61</v>
      </c>
      <c r="C312">
        <v>2025</v>
      </c>
      <c r="D312" t="s">
        <v>46</v>
      </c>
      <c r="E312" t="s">
        <v>209</v>
      </c>
      <c r="F312">
        <v>42</v>
      </c>
      <c r="G312" t="s">
        <v>193</v>
      </c>
      <c r="H312" t="b">
        <v>1</v>
      </c>
      <c r="I312">
        <v>1</v>
      </c>
      <c r="J312" t="s">
        <v>194</v>
      </c>
      <c r="K312" s="40" t="b">
        <v>0</v>
      </c>
      <c r="L312" t="s">
        <v>203</v>
      </c>
      <c r="P312">
        <v>2</v>
      </c>
    </row>
    <row r="313" spans="1:16" x14ac:dyDescent="0.3">
      <c r="A313" t="s">
        <v>60</v>
      </c>
      <c r="B313" s="56" t="s">
        <v>61</v>
      </c>
      <c r="C313">
        <v>2025</v>
      </c>
      <c r="D313" t="s">
        <v>47</v>
      </c>
      <c r="E313" t="s">
        <v>209</v>
      </c>
      <c r="F313">
        <v>35</v>
      </c>
      <c r="G313" t="s">
        <v>193</v>
      </c>
      <c r="H313" t="b">
        <v>1</v>
      </c>
      <c r="I313">
        <v>1</v>
      </c>
      <c r="J313" t="s">
        <v>194</v>
      </c>
      <c r="K313" s="40" t="b">
        <v>0</v>
      </c>
      <c r="L313" t="s">
        <v>203</v>
      </c>
      <c r="P313">
        <v>3</v>
      </c>
    </row>
    <row r="314" spans="1:16" x14ac:dyDescent="0.3">
      <c r="A314" t="s">
        <v>60</v>
      </c>
      <c r="B314" s="56" t="s">
        <v>61</v>
      </c>
      <c r="C314">
        <v>2025</v>
      </c>
      <c r="D314" t="s">
        <v>48</v>
      </c>
      <c r="E314" t="s">
        <v>209</v>
      </c>
      <c r="F314">
        <v>78</v>
      </c>
      <c r="G314" t="s">
        <v>193</v>
      </c>
      <c r="H314" t="b">
        <v>1</v>
      </c>
      <c r="I314">
        <v>1</v>
      </c>
      <c r="J314" t="s">
        <v>194</v>
      </c>
      <c r="K314" s="40" t="b">
        <v>0</v>
      </c>
      <c r="L314" t="s">
        <v>203</v>
      </c>
      <c r="P314">
        <v>4</v>
      </c>
    </row>
    <row r="315" spans="1:16" x14ac:dyDescent="0.3">
      <c r="A315" t="s">
        <v>60</v>
      </c>
      <c r="B315" s="56" t="s">
        <v>61</v>
      </c>
      <c r="C315">
        <v>2025</v>
      </c>
      <c r="D315" t="s">
        <v>49</v>
      </c>
      <c r="E315" t="s">
        <v>209</v>
      </c>
      <c r="F315">
        <v>62</v>
      </c>
      <c r="G315" t="s">
        <v>193</v>
      </c>
      <c r="H315" t="b">
        <v>1</v>
      </c>
      <c r="I315">
        <v>1</v>
      </c>
      <c r="J315" t="s">
        <v>194</v>
      </c>
      <c r="K315" s="40" t="b">
        <v>0</v>
      </c>
      <c r="L315" t="s">
        <v>203</v>
      </c>
      <c r="P315">
        <v>5</v>
      </c>
    </row>
    <row r="316" spans="1:16" x14ac:dyDescent="0.3">
      <c r="A316" t="s">
        <v>60</v>
      </c>
      <c r="B316" s="56" t="s">
        <v>61</v>
      </c>
      <c r="C316">
        <v>2025</v>
      </c>
      <c r="D316" t="s">
        <v>50</v>
      </c>
      <c r="E316" t="s">
        <v>209</v>
      </c>
      <c r="F316">
        <v>27</v>
      </c>
      <c r="G316" t="s">
        <v>193</v>
      </c>
      <c r="H316" t="b">
        <v>1</v>
      </c>
      <c r="I316">
        <v>1</v>
      </c>
      <c r="J316" t="s">
        <v>194</v>
      </c>
      <c r="K316" s="40" t="b">
        <v>0</v>
      </c>
      <c r="L316" t="s">
        <v>203</v>
      </c>
      <c r="P316">
        <v>6</v>
      </c>
    </row>
    <row r="317" spans="1:16" x14ac:dyDescent="0.3">
      <c r="A317" t="s">
        <v>60</v>
      </c>
      <c r="B317" s="56" t="s">
        <v>61</v>
      </c>
      <c r="C317">
        <v>2025</v>
      </c>
      <c r="D317" t="s">
        <v>51</v>
      </c>
      <c r="E317" t="s">
        <v>209</v>
      </c>
      <c r="F317">
        <v>24</v>
      </c>
      <c r="G317" t="s">
        <v>193</v>
      </c>
      <c r="H317" t="b">
        <v>1</v>
      </c>
      <c r="I317">
        <v>1</v>
      </c>
      <c r="J317" t="s">
        <v>194</v>
      </c>
      <c r="K317" s="40" t="b">
        <v>0</v>
      </c>
      <c r="L317" t="s">
        <v>203</v>
      </c>
      <c r="P317">
        <v>7</v>
      </c>
    </row>
    <row r="318" spans="1:16" x14ac:dyDescent="0.3">
      <c r="A318" t="s">
        <v>60</v>
      </c>
      <c r="B318" s="56" t="s">
        <v>61</v>
      </c>
      <c r="C318">
        <v>2025</v>
      </c>
      <c r="D318" t="s">
        <v>52</v>
      </c>
      <c r="E318" t="s">
        <v>209</v>
      </c>
      <c r="F318">
        <v>115</v>
      </c>
      <c r="G318" t="s">
        <v>193</v>
      </c>
      <c r="H318" t="b">
        <v>1</v>
      </c>
      <c r="I318">
        <v>1</v>
      </c>
      <c r="J318" t="s">
        <v>194</v>
      </c>
      <c r="K318" s="40" t="b">
        <v>0</v>
      </c>
      <c r="L318" t="s">
        <v>203</v>
      </c>
      <c r="P318">
        <v>8</v>
      </c>
    </row>
    <row r="319" spans="1:16" x14ac:dyDescent="0.3">
      <c r="A319" t="s">
        <v>60</v>
      </c>
      <c r="B319" s="56" t="s">
        <v>61</v>
      </c>
      <c r="C319">
        <v>2025</v>
      </c>
      <c r="D319" t="s">
        <v>53</v>
      </c>
      <c r="E319" t="s">
        <v>209</v>
      </c>
      <c r="F319">
        <v>69</v>
      </c>
      <c r="G319" t="s">
        <v>193</v>
      </c>
      <c r="H319" t="b">
        <v>1</v>
      </c>
      <c r="I319">
        <v>1</v>
      </c>
      <c r="J319" t="s">
        <v>194</v>
      </c>
      <c r="K319" s="40" t="b">
        <v>0</v>
      </c>
      <c r="L319" t="s">
        <v>203</v>
      </c>
      <c r="P319">
        <v>9</v>
      </c>
    </row>
    <row r="320" spans="1:16" x14ac:dyDescent="0.3">
      <c r="A320" t="s">
        <v>60</v>
      </c>
      <c r="B320" s="56" t="s">
        <v>61</v>
      </c>
      <c r="C320">
        <v>2025</v>
      </c>
      <c r="D320" t="s">
        <v>54</v>
      </c>
      <c r="E320" t="s">
        <v>209</v>
      </c>
      <c r="F320">
        <v>113</v>
      </c>
      <c r="G320" t="s">
        <v>193</v>
      </c>
      <c r="H320" t="b">
        <v>1</v>
      </c>
      <c r="I320">
        <v>1</v>
      </c>
      <c r="J320" t="s">
        <v>194</v>
      </c>
      <c r="K320" s="40" t="b">
        <v>0</v>
      </c>
      <c r="L320" t="s">
        <v>203</v>
      </c>
      <c r="P320">
        <v>10</v>
      </c>
    </row>
    <row r="321" spans="1:16" x14ac:dyDescent="0.3">
      <c r="A321" t="s">
        <v>60</v>
      </c>
      <c r="B321" s="56" t="s">
        <v>61</v>
      </c>
      <c r="C321">
        <v>2025</v>
      </c>
      <c r="D321" t="s">
        <v>55</v>
      </c>
      <c r="E321" t="s">
        <v>209</v>
      </c>
      <c r="F321">
        <v>120</v>
      </c>
      <c r="G321" t="s">
        <v>193</v>
      </c>
      <c r="H321" t="b">
        <v>1</v>
      </c>
      <c r="I321">
        <v>1</v>
      </c>
      <c r="J321" t="s">
        <v>194</v>
      </c>
      <c r="K321" s="40" t="b">
        <v>0</v>
      </c>
      <c r="L321" t="s">
        <v>203</v>
      </c>
      <c r="P321">
        <v>11</v>
      </c>
    </row>
    <row r="322" spans="1:16" x14ac:dyDescent="0.3">
      <c r="A322" t="s">
        <v>60</v>
      </c>
      <c r="B322" s="56" t="s">
        <v>61</v>
      </c>
      <c r="C322">
        <v>2025</v>
      </c>
      <c r="D322" t="s">
        <v>56</v>
      </c>
      <c r="E322" t="s">
        <v>209</v>
      </c>
      <c r="F322">
        <v>20</v>
      </c>
      <c r="G322" t="s">
        <v>193</v>
      </c>
      <c r="H322" t="b">
        <v>1</v>
      </c>
      <c r="I322">
        <v>1</v>
      </c>
      <c r="J322" t="s">
        <v>194</v>
      </c>
      <c r="K322" s="40" t="b">
        <v>0</v>
      </c>
      <c r="L322" t="s">
        <v>203</v>
      </c>
      <c r="P322">
        <v>12</v>
      </c>
    </row>
    <row r="323" spans="1:16" x14ac:dyDescent="0.3">
      <c r="B323" s="56"/>
      <c r="K323" s="40"/>
    </row>
    <row r="324" spans="1:16" x14ac:dyDescent="0.3">
      <c r="A324" t="s">
        <v>60</v>
      </c>
      <c r="B324" s="56" t="s">
        <v>61</v>
      </c>
      <c r="C324">
        <v>2025</v>
      </c>
      <c r="D324" t="s">
        <v>2</v>
      </c>
      <c r="E324" t="s">
        <v>210</v>
      </c>
      <c r="F324">
        <v>20</v>
      </c>
      <c r="G324" t="s">
        <v>193</v>
      </c>
      <c r="H324" t="b">
        <v>1</v>
      </c>
      <c r="I324">
        <v>1</v>
      </c>
      <c r="J324" t="s">
        <v>194</v>
      </c>
      <c r="K324" s="40" t="b">
        <v>0</v>
      </c>
      <c r="L324" t="s">
        <v>203</v>
      </c>
      <c r="P324">
        <v>1</v>
      </c>
    </row>
    <row r="325" spans="1:16" x14ac:dyDescent="0.3">
      <c r="A325" t="s">
        <v>60</v>
      </c>
      <c r="B325" s="56" t="s">
        <v>61</v>
      </c>
      <c r="C325">
        <v>2025</v>
      </c>
      <c r="D325" t="s">
        <v>46</v>
      </c>
      <c r="E325" t="s">
        <v>210</v>
      </c>
      <c r="F325">
        <v>112</v>
      </c>
      <c r="G325" t="s">
        <v>193</v>
      </c>
      <c r="H325" t="b">
        <v>1</v>
      </c>
      <c r="I325">
        <v>1</v>
      </c>
      <c r="J325" t="s">
        <v>194</v>
      </c>
      <c r="K325" s="40" t="b">
        <v>0</v>
      </c>
      <c r="L325" t="s">
        <v>203</v>
      </c>
      <c r="P325">
        <v>2</v>
      </c>
    </row>
    <row r="326" spans="1:16" x14ac:dyDescent="0.3">
      <c r="A326" t="s">
        <v>60</v>
      </c>
      <c r="B326" s="56" t="s">
        <v>61</v>
      </c>
      <c r="C326">
        <v>2025</v>
      </c>
      <c r="D326" t="s">
        <v>47</v>
      </c>
      <c r="E326" t="s">
        <v>210</v>
      </c>
      <c r="F326">
        <v>88</v>
      </c>
      <c r="G326" t="s">
        <v>193</v>
      </c>
      <c r="H326" t="b">
        <v>1</v>
      </c>
      <c r="I326">
        <v>1</v>
      </c>
      <c r="J326" t="s">
        <v>194</v>
      </c>
      <c r="K326" s="40" t="b">
        <v>0</v>
      </c>
      <c r="L326" t="s">
        <v>203</v>
      </c>
      <c r="P326">
        <v>3</v>
      </c>
    </row>
    <row r="327" spans="1:16" x14ac:dyDescent="0.3">
      <c r="A327" t="s">
        <v>60</v>
      </c>
      <c r="B327" s="56" t="s">
        <v>61</v>
      </c>
      <c r="C327">
        <v>2025</v>
      </c>
      <c r="D327" t="s">
        <v>48</v>
      </c>
      <c r="E327" t="s">
        <v>210</v>
      </c>
      <c r="F327">
        <v>53</v>
      </c>
      <c r="G327" t="s">
        <v>193</v>
      </c>
      <c r="H327" t="b">
        <v>1</v>
      </c>
      <c r="I327">
        <v>1</v>
      </c>
      <c r="J327" t="s">
        <v>194</v>
      </c>
      <c r="K327" s="40" t="b">
        <v>0</v>
      </c>
      <c r="L327" t="s">
        <v>203</v>
      </c>
      <c r="P327">
        <v>4</v>
      </c>
    </row>
    <row r="328" spans="1:16" x14ac:dyDescent="0.3">
      <c r="A328" t="s">
        <v>60</v>
      </c>
      <c r="B328" s="56" t="s">
        <v>61</v>
      </c>
      <c r="C328">
        <v>2025</v>
      </c>
      <c r="D328" t="s">
        <v>49</v>
      </c>
      <c r="E328" t="s">
        <v>210</v>
      </c>
      <c r="F328">
        <v>103</v>
      </c>
      <c r="G328" t="s">
        <v>193</v>
      </c>
      <c r="H328" t="b">
        <v>1</v>
      </c>
      <c r="I328">
        <v>1</v>
      </c>
      <c r="J328" t="s">
        <v>194</v>
      </c>
      <c r="K328" s="40" t="b">
        <v>0</v>
      </c>
      <c r="L328" t="s">
        <v>203</v>
      </c>
      <c r="P328">
        <v>5</v>
      </c>
    </row>
    <row r="329" spans="1:16" x14ac:dyDescent="0.3">
      <c r="A329" t="s">
        <v>60</v>
      </c>
      <c r="B329" s="56" t="s">
        <v>61</v>
      </c>
      <c r="C329">
        <v>2025</v>
      </c>
      <c r="D329" t="s">
        <v>50</v>
      </c>
      <c r="E329" t="s">
        <v>210</v>
      </c>
      <c r="F329">
        <v>79</v>
      </c>
      <c r="G329" t="s">
        <v>193</v>
      </c>
      <c r="H329" t="b">
        <v>1</v>
      </c>
      <c r="I329">
        <v>1</v>
      </c>
      <c r="J329" t="s">
        <v>194</v>
      </c>
      <c r="K329" s="40" t="b">
        <v>0</v>
      </c>
      <c r="L329" t="s">
        <v>203</v>
      </c>
      <c r="P329">
        <v>6</v>
      </c>
    </row>
    <row r="330" spans="1:16" x14ac:dyDescent="0.3">
      <c r="A330" t="s">
        <v>60</v>
      </c>
      <c r="B330" s="56" t="s">
        <v>61</v>
      </c>
      <c r="C330">
        <v>2025</v>
      </c>
      <c r="D330" t="s">
        <v>51</v>
      </c>
      <c r="E330" t="s">
        <v>210</v>
      </c>
      <c r="F330">
        <v>32</v>
      </c>
      <c r="G330" t="s">
        <v>193</v>
      </c>
      <c r="H330" t="b">
        <v>1</v>
      </c>
      <c r="I330">
        <v>1</v>
      </c>
      <c r="J330" t="s">
        <v>194</v>
      </c>
      <c r="K330" s="40" t="b">
        <v>0</v>
      </c>
      <c r="L330" t="s">
        <v>203</v>
      </c>
      <c r="P330">
        <v>7</v>
      </c>
    </row>
    <row r="331" spans="1:16" x14ac:dyDescent="0.3">
      <c r="A331" t="s">
        <v>60</v>
      </c>
      <c r="B331" s="56" t="s">
        <v>61</v>
      </c>
      <c r="C331">
        <v>2025</v>
      </c>
      <c r="D331" t="s">
        <v>52</v>
      </c>
      <c r="E331" t="s">
        <v>210</v>
      </c>
      <c r="F331">
        <v>28</v>
      </c>
      <c r="G331" t="s">
        <v>193</v>
      </c>
      <c r="H331" t="b">
        <v>1</v>
      </c>
      <c r="I331">
        <v>1</v>
      </c>
      <c r="J331" t="s">
        <v>194</v>
      </c>
      <c r="K331" s="40" t="b">
        <v>0</v>
      </c>
      <c r="L331" t="s">
        <v>203</v>
      </c>
      <c r="P331">
        <v>8</v>
      </c>
    </row>
    <row r="332" spans="1:16" x14ac:dyDescent="0.3">
      <c r="A332" t="s">
        <v>60</v>
      </c>
      <c r="B332" s="56" t="s">
        <v>61</v>
      </c>
      <c r="C332">
        <v>2025</v>
      </c>
      <c r="D332" t="s">
        <v>53</v>
      </c>
      <c r="E332" t="s">
        <v>210</v>
      </c>
      <c r="F332">
        <v>89</v>
      </c>
      <c r="G332" t="s">
        <v>193</v>
      </c>
      <c r="H332" t="b">
        <v>1</v>
      </c>
      <c r="I332">
        <v>1</v>
      </c>
      <c r="J332" t="s">
        <v>194</v>
      </c>
      <c r="K332" s="40" t="b">
        <v>0</v>
      </c>
      <c r="L332" t="s">
        <v>203</v>
      </c>
      <c r="P332">
        <v>9</v>
      </c>
    </row>
    <row r="333" spans="1:16" x14ac:dyDescent="0.3">
      <c r="A333" t="s">
        <v>60</v>
      </c>
      <c r="B333" s="56" t="s">
        <v>61</v>
      </c>
      <c r="C333">
        <v>2025</v>
      </c>
      <c r="D333" t="s">
        <v>54</v>
      </c>
      <c r="E333" t="s">
        <v>210</v>
      </c>
      <c r="F333">
        <v>33</v>
      </c>
      <c r="G333" t="s">
        <v>193</v>
      </c>
      <c r="H333" t="b">
        <v>1</v>
      </c>
      <c r="I333">
        <v>1</v>
      </c>
      <c r="J333" t="s">
        <v>194</v>
      </c>
      <c r="K333" s="40" t="b">
        <v>0</v>
      </c>
      <c r="L333" t="s">
        <v>203</v>
      </c>
      <c r="P333">
        <v>10</v>
      </c>
    </row>
    <row r="334" spans="1:16" x14ac:dyDescent="0.3">
      <c r="A334" t="s">
        <v>60</v>
      </c>
      <c r="B334" s="56" t="s">
        <v>61</v>
      </c>
      <c r="C334">
        <v>2025</v>
      </c>
      <c r="D334" t="s">
        <v>55</v>
      </c>
      <c r="E334" t="s">
        <v>210</v>
      </c>
      <c r="F334">
        <v>119</v>
      </c>
      <c r="G334" t="s">
        <v>193</v>
      </c>
      <c r="H334" t="b">
        <v>1</v>
      </c>
      <c r="I334">
        <v>1</v>
      </c>
      <c r="J334" t="s">
        <v>194</v>
      </c>
      <c r="K334" s="40" t="b">
        <v>0</v>
      </c>
      <c r="L334" t="s">
        <v>203</v>
      </c>
      <c r="P334">
        <v>11</v>
      </c>
    </row>
    <row r="335" spans="1:16" x14ac:dyDescent="0.3">
      <c r="A335" t="s">
        <v>60</v>
      </c>
      <c r="B335" s="56" t="s">
        <v>61</v>
      </c>
      <c r="C335">
        <v>2025</v>
      </c>
      <c r="D335" t="s">
        <v>56</v>
      </c>
      <c r="E335" t="s">
        <v>210</v>
      </c>
      <c r="F335">
        <v>70</v>
      </c>
      <c r="G335" t="s">
        <v>193</v>
      </c>
      <c r="H335" t="b">
        <v>1</v>
      </c>
      <c r="I335">
        <v>1</v>
      </c>
      <c r="J335" t="s">
        <v>194</v>
      </c>
      <c r="K335" s="40" t="b">
        <v>0</v>
      </c>
      <c r="L335" t="s">
        <v>203</v>
      </c>
      <c r="P335">
        <v>12</v>
      </c>
    </row>
    <row r="336" spans="1:16" x14ac:dyDescent="0.3">
      <c r="B336" s="56"/>
      <c r="K336" s="40"/>
    </row>
    <row r="337" spans="1:16" x14ac:dyDescent="0.3">
      <c r="A337" t="s">
        <v>60</v>
      </c>
      <c r="B337" s="56" t="s">
        <v>61</v>
      </c>
      <c r="C337">
        <v>2025</v>
      </c>
      <c r="D337" t="s">
        <v>2</v>
      </c>
      <c r="E337" t="s">
        <v>211</v>
      </c>
      <c r="F337">
        <v>107</v>
      </c>
      <c r="G337" t="s">
        <v>193</v>
      </c>
      <c r="H337" t="b">
        <v>1</v>
      </c>
      <c r="I337">
        <v>1</v>
      </c>
      <c r="J337" t="s">
        <v>194</v>
      </c>
      <c r="K337" s="40" t="b">
        <v>0</v>
      </c>
      <c r="L337" t="s">
        <v>207</v>
      </c>
      <c r="P337">
        <v>1</v>
      </c>
    </row>
    <row r="338" spans="1:16" x14ac:dyDescent="0.3">
      <c r="A338" t="s">
        <v>60</v>
      </c>
      <c r="B338" s="56" t="s">
        <v>61</v>
      </c>
      <c r="C338">
        <v>2025</v>
      </c>
      <c r="D338" t="s">
        <v>46</v>
      </c>
      <c r="E338" t="s">
        <v>211</v>
      </c>
      <c r="F338">
        <v>57</v>
      </c>
      <c r="G338" t="s">
        <v>193</v>
      </c>
      <c r="H338" t="b">
        <v>1</v>
      </c>
      <c r="I338">
        <v>1</v>
      </c>
      <c r="J338" t="s">
        <v>194</v>
      </c>
      <c r="K338" s="40" t="b">
        <v>0</v>
      </c>
      <c r="L338" t="s">
        <v>207</v>
      </c>
      <c r="P338">
        <v>2</v>
      </c>
    </row>
    <row r="339" spans="1:16" x14ac:dyDescent="0.3">
      <c r="A339" t="s">
        <v>60</v>
      </c>
      <c r="B339" s="56" t="s">
        <v>61</v>
      </c>
      <c r="C339">
        <v>2025</v>
      </c>
      <c r="D339" t="s">
        <v>47</v>
      </c>
      <c r="E339" t="s">
        <v>211</v>
      </c>
      <c r="F339">
        <v>30</v>
      </c>
      <c r="G339" t="s">
        <v>193</v>
      </c>
      <c r="H339" t="b">
        <v>1</v>
      </c>
      <c r="I339">
        <v>1</v>
      </c>
      <c r="J339" t="s">
        <v>194</v>
      </c>
      <c r="K339" s="40" t="b">
        <v>0</v>
      </c>
      <c r="L339" t="s">
        <v>207</v>
      </c>
      <c r="P339">
        <v>3</v>
      </c>
    </row>
    <row r="340" spans="1:16" x14ac:dyDescent="0.3">
      <c r="A340" t="s">
        <v>60</v>
      </c>
      <c r="B340" s="56" t="s">
        <v>61</v>
      </c>
      <c r="C340">
        <v>2025</v>
      </c>
      <c r="D340" t="s">
        <v>48</v>
      </c>
      <c r="E340" t="s">
        <v>211</v>
      </c>
      <c r="F340">
        <v>86</v>
      </c>
      <c r="G340" t="s">
        <v>193</v>
      </c>
      <c r="H340" t="b">
        <v>1</v>
      </c>
      <c r="I340">
        <v>1</v>
      </c>
      <c r="J340" t="s">
        <v>194</v>
      </c>
      <c r="K340" s="40" t="b">
        <v>0</v>
      </c>
      <c r="L340" t="s">
        <v>207</v>
      </c>
      <c r="P340">
        <v>4</v>
      </c>
    </row>
    <row r="341" spans="1:16" x14ac:dyDescent="0.3">
      <c r="A341" t="s">
        <v>60</v>
      </c>
      <c r="B341" s="56" t="s">
        <v>61</v>
      </c>
      <c r="C341">
        <v>2025</v>
      </c>
      <c r="D341" t="s">
        <v>49</v>
      </c>
      <c r="E341" t="s">
        <v>211</v>
      </c>
      <c r="F341">
        <v>26</v>
      </c>
      <c r="G341" t="s">
        <v>193</v>
      </c>
      <c r="H341" t="b">
        <v>1</v>
      </c>
      <c r="I341">
        <v>1</v>
      </c>
      <c r="J341" t="s">
        <v>194</v>
      </c>
      <c r="K341" s="40" t="b">
        <v>0</v>
      </c>
      <c r="L341" t="s">
        <v>207</v>
      </c>
      <c r="P341">
        <v>5</v>
      </c>
    </row>
    <row r="342" spans="1:16" x14ac:dyDescent="0.3">
      <c r="A342" t="s">
        <v>60</v>
      </c>
      <c r="B342" s="56" t="s">
        <v>61</v>
      </c>
      <c r="C342">
        <v>2025</v>
      </c>
      <c r="D342" t="s">
        <v>50</v>
      </c>
      <c r="E342" t="s">
        <v>211</v>
      </c>
      <c r="F342">
        <v>119</v>
      </c>
      <c r="G342" t="s">
        <v>193</v>
      </c>
      <c r="H342" t="b">
        <v>1</v>
      </c>
      <c r="I342">
        <v>1</v>
      </c>
      <c r="J342" t="s">
        <v>194</v>
      </c>
      <c r="K342" s="40" t="b">
        <v>0</v>
      </c>
      <c r="L342" t="s">
        <v>207</v>
      </c>
      <c r="P342">
        <v>6</v>
      </c>
    </row>
    <row r="343" spans="1:16" x14ac:dyDescent="0.3">
      <c r="A343" t="s">
        <v>60</v>
      </c>
      <c r="B343" s="56" t="s">
        <v>61</v>
      </c>
      <c r="C343">
        <v>2025</v>
      </c>
      <c r="D343" t="s">
        <v>51</v>
      </c>
      <c r="E343" t="s">
        <v>211</v>
      </c>
      <c r="F343">
        <v>52</v>
      </c>
      <c r="G343" t="s">
        <v>193</v>
      </c>
      <c r="H343" t="b">
        <v>1</v>
      </c>
      <c r="I343">
        <v>1</v>
      </c>
      <c r="J343" t="s">
        <v>194</v>
      </c>
      <c r="K343" s="40" t="b">
        <v>0</v>
      </c>
      <c r="L343" t="s">
        <v>207</v>
      </c>
      <c r="P343">
        <v>7</v>
      </c>
    </row>
    <row r="344" spans="1:16" x14ac:dyDescent="0.3">
      <c r="A344" t="s">
        <v>60</v>
      </c>
      <c r="B344" s="56" t="s">
        <v>61</v>
      </c>
      <c r="C344">
        <v>2025</v>
      </c>
      <c r="D344" t="s">
        <v>52</v>
      </c>
      <c r="E344" t="s">
        <v>211</v>
      </c>
      <c r="F344">
        <v>66</v>
      </c>
      <c r="G344" t="s">
        <v>193</v>
      </c>
      <c r="H344" t="b">
        <v>1</v>
      </c>
      <c r="I344">
        <v>1</v>
      </c>
      <c r="J344" t="s">
        <v>194</v>
      </c>
      <c r="K344" s="40" t="b">
        <v>0</v>
      </c>
      <c r="L344" t="s">
        <v>207</v>
      </c>
      <c r="P344">
        <v>8</v>
      </c>
    </row>
    <row r="345" spans="1:16" x14ac:dyDescent="0.3">
      <c r="A345" t="s">
        <v>60</v>
      </c>
      <c r="B345" s="56" t="s">
        <v>61</v>
      </c>
      <c r="C345">
        <v>2025</v>
      </c>
      <c r="D345" t="s">
        <v>53</v>
      </c>
      <c r="E345" t="s">
        <v>211</v>
      </c>
      <c r="F345">
        <v>70</v>
      </c>
      <c r="G345" t="s">
        <v>193</v>
      </c>
      <c r="H345" t="b">
        <v>1</v>
      </c>
      <c r="I345">
        <v>1</v>
      </c>
      <c r="J345" t="s">
        <v>194</v>
      </c>
      <c r="K345" s="40" t="b">
        <v>0</v>
      </c>
      <c r="L345" t="s">
        <v>207</v>
      </c>
      <c r="P345">
        <v>9</v>
      </c>
    </row>
    <row r="346" spans="1:16" x14ac:dyDescent="0.3">
      <c r="A346" t="s">
        <v>60</v>
      </c>
      <c r="B346" s="56" t="s">
        <v>61</v>
      </c>
      <c r="C346">
        <v>2025</v>
      </c>
      <c r="D346" t="s">
        <v>54</v>
      </c>
      <c r="E346" t="s">
        <v>211</v>
      </c>
      <c r="F346">
        <v>40</v>
      </c>
      <c r="G346" t="s">
        <v>193</v>
      </c>
      <c r="H346" t="b">
        <v>1</v>
      </c>
      <c r="I346">
        <v>1</v>
      </c>
      <c r="J346" t="s">
        <v>194</v>
      </c>
      <c r="K346" s="40" t="b">
        <v>0</v>
      </c>
      <c r="L346" t="s">
        <v>207</v>
      </c>
      <c r="P346">
        <v>10</v>
      </c>
    </row>
    <row r="347" spans="1:16" x14ac:dyDescent="0.3">
      <c r="A347" t="s">
        <v>60</v>
      </c>
      <c r="B347" s="56" t="s">
        <v>61</v>
      </c>
      <c r="C347">
        <v>2025</v>
      </c>
      <c r="D347" t="s">
        <v>55</v>
      </c>
      <c r="E347" t="s">
        <v>211</v>
      </c>
      <c r="F347">
        <v>108</v>
      </c>
      <c r="G347" t="s">
        <v>193</v>
      </c>
      <c r="H347" t="b">
        <v>1</v>
      </c>
      <c r="I347">
        <v>1</v>
      </c>
      <c r="J347" t="s">
        <v>194</v>
      </c>
      <c r="K347" s="40" t="b">
        <v>0</v>
      </c>
      <c r="L347" t="s">
        <v>207</v>
      </c>
      <c r="P347">
        <v>11</v>
      </c>
    </row>
    <row r="348" spans="1:16" x14ac:dyDescent="0.3">
      <c r="A348" t="s">
        <v>60</v>
      </c>
      <c r="B348" s="56" t="s">
        <v>61</v>
      </c>
      <c r="C348">
        <v>2025</v>
      </c>
      <c r="D348" t="s">
        <v>56</v>
      </c>
      <c r="E348" t="s">
        <v>211</v>
      </c>
      <c r="F348">
        <v>98</v>
      </c>
      <c r="G348" t="s">
        <v>193</v>
      </c>
      <c r="H348" t="b">
        <v>1</v>
      </c>
      <c r="I348">
        <v>1</v>
      </c>
      <c r="J348" t="s">
        <v>194</v>
      </c>
      <c r="K348" s="40" t="b">
        <v>0</v>
      </c>
      <c r="L348" t="s">
        <v>207</v>
      </c>
      <c r="P348">
        <v>12</v>
      </c>
    </row>
    <row r="349" spans="1:16" x14ac:dyDescent="0.3">
      <c r="B349" s="56"/>
      <c r="K349" s="40"/>
    </row>
    <row r="350" spans="1:16" x14ac:dyDescent="0.3">
      <c r="A350" t="s">
        <v>60</v>
      </c>
      <c r="B350" s="56" t="s">
        <v>61</v>
      </c>
      <c r="C350">
        <v>2025</v>
      </c>
      <c r="D350" t="s">
        <v>2</v>
      </c>
      <c r="E350" t="s">
        <v>212</v>
      </c>
      <c r="F350">
        <v>79</v>
      </c>
      <c r="G350" t="s">
        <v>193</v>
      </c>
      <c r="H350" t="b">
        <v>1</v>
      </c>
      <c r="I350">
        <v>1</v>
      </c>
      <c r="J350" t="s">
        <v>194</v>
      </c>
      <c r="K350" s="40" t="b">
        <v>0</v>
      </c>
      <c r="L350" t="s">
        <v>213</v>
      </c>
      <c r="P350">
        <v>1</v>
      </c>
    </row>
    <row r="351" spans="1:16" x14ac:dyDescent="0.3">
      <c r="A351" t="s">
        <v>60</v>
      </c>
      <c r="B351" s="56" t="s">
        <v>61</v>
      </c>
      <c r="C351">
        <v>2025</v>
      </c>
      <c r="D351" t="s">
        <v>46</v>
      </c>
      <c r="E351" t="s">
        <v>212</v>
      </c>
      <c r="F351">
        <v>59</v>
      </c>
      <c r="G351" t="s">
        <v>193</v>
      </c>
      <c r="H351" t="b">
        <v>1</v>
      </c>
      <c r="I351">
        <v>1</v>
      </c>
      <c r="J351" t="s">
        <v>194</v>
      </c>
      <c r="K351" s="40" t="b">
        <v>0</v>
      </c>
      <c r="L351" t="s">
        <v>213</v>
      </c>
      <c r="P351">
        <v>2</v>
      </c>
    </row>
    <row r="352" spans="1:16" x14ac:dyDescent="0.3">
      <c r="A352" t="s">
        <v>60</v>
      </c>
      <c r="B352" s="56" t="s">
        <v>61</v>
      </c>
      <c r="C352">
        <v>2025</v>
      </c>
      <c r="D352" t="s">
        <v>47</v>
      </c>
      <c r="E352" t="s">
        <v>212</v>
      </c>
      <c r="F352">
        <v>87</v>
      </c>
      <c r="G352" t="s">
        <v>193</v>
      </c>
      <c r="H352" t="b">
        <v>1</v>
      </c>
      <c r="I352">
        <v>1</v>
      </c>
      <c r="J352" t="s">
        <v>194</v>
      </c>
      <c r="K352" s="40" t="b">
        <v>0</v>
      </c>
      <c r="L352" t="s">
        <v>213</v>
      </c>
      <c r="P352">
        <v>3</v>
      </c>
    </row>
    <row r="353" spans="1:16" x14ac:dyDescent="0.3">
      <c r="A353" t="s">
        <v>60</v>
      </c>
      <c r="B353" s="56" t="s">
        <v>61</v>
      </c>
      <c r="C353">
        <v>2025</v>
      </c>
      <c r="D353" t="s">
        <v>48</v>
      </c>
      <c r="E353" t="s">
        <v>212</v>
      </c>
      <c r="F353">
        <v>60</v>
      </c>
      <c r="G353" t="s">
        <v>193</v>
      </c>
      <c r="H353" t="b">
        <v>1</v>
      </c>
      <c r="I353">
        <v>1</v>
      </c>
      <c r="J353" t="s">
        <v>194</v>
      </c>
      <c r="K353" s="40" t="b">
        <v>0</v>
      </c>
      <c r="L353" t="s">
        <v>213</v>
      </c>
      <c r="P353">
        <v>4</v>
      </c>
    </row>
    <row r="354" spans="1:16" x14ac:dyDescent="0.3">
      <c r="A354" t="s">
        <v>60</v>
      </c>
      <c r="B354" s="56" t="s">
        <v>61</v>
      </c>
      <c r="C354">
        <v>2025</v>
      </c>
      <c r="D354" t="s">
        <v>49</v>
      </c>
      <c r="E354" t="s">
        <v>212</v>
      </c>
      <c r="F354">
        <v>31</v>
      </c>
      <c r="G354" t="s">
        <v>193</v>
      </c>
      <c r="H354" t="b">
        <v>1</v>
      </c>
      <c r="I354">
        <v>1</v>
      </c>
      <c r="J354" t="s">
        <v>194</v>
      </c>
      <c r="K354" s="40" t="b">
        <v>0</v>
      </c>
      <c r="L354" t="s">
        <v>205</v>
      </c>
      <c r="P354">
        <v>5</v>
      </c>
    </row>
    <row r="355" spans="1:16" x14ac:dyDescent="0.3">
      <c r="A355" t="s">
        <v>60</v>
      </c>
      <c r="B355" s="56" t="s">
        <v>61</v>
      </c>
      <c r="C355">
        <v>2025</v>
      </c>
      <c r="D355" t="s">
        <v>50</v>
      </c>
      <c r="E355" t="s">
        <v>212</v>
      </c>
      <c r="F355">
        <v>102</v>
      </c>
      <c r="G355" t="s">
        <v>193</v>
      </c>
      <c r="H355" t="b">
        <v>1</v>
      </c>
      <c r="I355">
        <v>1</v>
      </c>
      <c r="J355" t="s">
        <v>194</v>
      </c>
      <c r="K355" s="40" t="b">
        <v>0</v>
      </c>
      <c r="L355" t="s">
        <v>213</v>
      </c>
      <c r="P355">
        <v>6</v>
      </c>
    </row>
    <row r="356" spans="1:16" x14ac:dyDescent="0.3">
      <c r="A356" t="s">
        <v>60</v>
      </c>
      <c r="B356" s="56" t="s">
        <v>61</v>
      </c>
      <c r="C356">
        <v>2025</v>
      </c>
      <c r="D356" t="s">
        <v>51</v>
      </c>
      <c r="E356" t="s">
        <v>212</v>
      </c>
      <c r="F356">
        <v>47</v>
      </c>
      <c r="G356" t="s">
        <v>193</v>
      </c>
      <c r="H356" t="b">
        <v>1</v>
      </c>
      <c r="I356">
        <v>1</v>
      </c>
      <c r="J356" t="s">
        <v>194</v>
      </c>
      <c r="K356" s="40" t="b">
        <v>0</v>
      </c>
      <c r="L356" t="s">
        <v>213</v>
      </c>
      <c r="P356">
        <v>7</v>
      </c>
    </row>
    <row r="357" spans="1:16" x14ac:dyDescent="0.3">
      <c r="A357" t="s">
        <v>60</v>
      </c>
      <c r="B357" s="56" t="s">
        <v>61</v>
      </c>
      <c r="C357">
        <v>2025</v>
      </c>
      <c r="D357" t="s">
        <v>52</v>
      </c>
      <c r="E357" t="s">
        <v>212</v>
      </c>
      <c r="F357">
        <v>82</v>
      </c>
      <c r="G357" t="s">
        <v>193</v>
      </c>
      <c r="H357" t="b">
        <v>1</v>
      </c>
      <c r="I357">
        <v>1</v>
      </c>
      <c r="J357" t="s">
        <v>194</v>
      </c>
      <c r="K357" s="40" t="b">
        <v>0</v>
      </c>
      <c r="L357" t="s">
        <v>213</v>
      </c>
      <c r="P357">
        <v>8</v>
      </c>
    </row>
    <row r="358" spans="1:16" x14ac:dyDescent="0.3">
      <c r="A358" t="s">
        <v>60</v>
      </c>
      <c r="B358" s="56" t="s">
        <v>61</v>
      </c>
      <c r="C358">
        <v>2025</v>
      </c>
      <c r="D358" t="s">
        <v>53</v>
      </c>
      <c r="E358" t="s">
        <v>212</v>
      </c>
      <c r="F358">
        <v>45</v>
      </c>
      <c r="G358" t="s">
        <v>193</v>
      </c>
      <c r="H358" t="b">
        <v>1</v>
      </c>
      <c r="I358">
        <v>1</v>
      </c>
      <c r="J358" t="s">
        <v>194</v>
      </c>
      <c r="K358" s="40" t="b">
        <v>0</v>
      </c>
      <c r="L358" t="s">
        <v>213</v>
      </c>
      <c r="P358">
        <v>9</v>
      </c>
    </row>
    <row r="359" spans="1:16" x14ac:dyDescent="0.3">
      <c r="A359" t="s">
        <v>60</v>
      </c>
      <c r="B359" s="56" t="s">
        <v>61</v>
      </c>
      <c r="C359">
        <v>2025</v>
      </c>
      <c r="D359" t="s">
        <v>54</v>
      </c>
      <c r="E359" t="s">
        <v>212</v>
      </c>
      <c r="F359">
        <v>42</v>
      </c>
      <c r="G359" t="s">
        <v>193</v>
      </c>
      <c r="H359" t="b">
        <v>1</v>
      </c>
      <c r="I359">
        <v>1</v>
      </c>
      <c r="J359" t="s">
        <v>194</v>
      </c>
      <c r="K359" s="40" t="b">
        <v>0</v>
      </c>
      <c r="L359" t="s">
        <v>213</v>
      </c>
      <c r="P359">
        <v>10</v>
      </c>
    </row>
    <row r="360" spans="1:16" x14ac:dyDescent="0.3">
      <c r="A360" t="s">
        <v>60</v>
      </c>
      <c r="B360" s="56" t="s">
        <v>61</v>
      </c>
      <c r="C360">
        <v>2025</v>
      </c>
      <c r="D360" t="s">
        <v>55</v>
      </c>
      <c r="E360" t="s">
        <v>212</v>
      </c>
      <c r="F360">
        <v>57</v>
      </c>
      <c r="G360" t="s">
        <v>193</v>
      </c>
      <c r="H360" t="b">
        <v>1</v>
      </c>
      <c r="I360">
        <v>1</v>
      </c>
      <c r="J360" t="s">
        <v>194</v>
      </c>
      <c r="K360" s="40" t="b">
        <v>0</v>
      </c>
      <c r="L360" t="s">
        <v>213</v>
      </c>
      <c r="P360">
        <v>11</v>
      </c>
    </row>
    <row r="361" spans="1:16" x14ac:dyDescent="0.3">
      <c r="A361" t="s">
        <v>60</v>
      </c>
      <c r="B361" s="56" t="s">
        <v>61</v>
      </c>
      <c r="C361">
        <v>2025</v>
      </c>
      <c r="D361" t="s">
        <v>56</v>
      </c>
      <c r="E361" t="s">
        <v>212</v>
      </c>
      <c r="F361">
        <v>62</v>
      </c>
      <c r="G361" t="s">
        <v>193</v>
      </c>
      <c r="H361" t="b">
        <v>1</v>
      </c>
      <c r="I361">
        <v>1</v>
      </c>
      <c r="J361" t="s">
        <v>194</v>
      </c>
      <c r="K361" s="40" t="b">
        <v>0</v>
      </c>
      <c r="L361" t="s">
        <v>213</v>
      </c>
      <c r="P361">
        <v>12</v>
      </c>
    </row>
    <row r="362" spans="1:16" x14ac:dyDescent="0.3">
      <c r="B362" s="56"/>
      <c r="K362" s="40"/>
    </row>
    <row r="363" spans="1:16" x14ac:dyDescent="0.3">
      <c r="A363" t="s">
        <v>60</v>
      </c>
      <c r="B363" s="56" t="s">
        <v>61</v>
      </c>
      <c r="C363">
        <v>2025</v>
      </c>
      <c r="D363" t="s">
        <v>2</v>
      </c>
      <c r="E363" t="s">
        <v>214</v>
      </c>
      <c r="F363">
        <v>44</v>
      </c>
      <c r="G363" t="s">
        <v>193</v>
      </c>
      <c r="H363" t="b">
        <v>1</v>
      </c>
      <c r="I363">
        <v>1</v>
      </c>
      <c r="J363" t="s">
        <v>194</v>
      </c>
      <c r="K363" s="40" t="b">
        <v>0</v>
      </c>
      <c r="L363" t="s">
        <v>203</v>
      </c>
      <c r="P363">
        <v>1</v>
      </c>
    </row>
    <row r="364" spans="1:16" x14ac:dyDescent="0.3">
      <c r="A364" t="s">
        <v>60</v>
      </c>
      <c r="B364" s="56" t="s">
        <v>61</v>
      </c>
      <c r="C364">
        <v>2025</v>
      </c>
      <c r="D364" t="s">
        <v>46</v>
      </c>
      <c r="E364" t="s">
        <v>214</v>
      </c>
      <c r="F364">
        <v>41</v>
      </c>
      <c r="G364" t="s">
        <v>193</v>
      </c>
      <c r="H364" t="b">
        <v>1</v>
      </c>
      <c r="I364">
        <v>1</v>
      </c>
      <c r="J364" t="s">
        <v>194</v>
      </c>
      <c r="K364" s="40" t="b">
        <v>0</v>
      </c>
      <c r="L364" t="s">
        <v>203</v>
      </c>
      <c r="P364">
        <v>2</v>
      </c>
    </row>
    <row r="365" spans="1:16" x14ac:dyDescent="0.3">
      <c r="A365" t="s">
        <v>60</v>
      </c>
      <c r="B365" s="56" t="s">
        <v>61</v>
      </c>
      <c r="C365">
        <v>2025</v>
      </c>
      <c r="D365" t="s">
        <v>47</v>
      </c>
      <c r="E365" t="s">
        <v>214</v>
      </c>
      <c r="F365">
        <v>33</v>
      </c>
      <c r="G365" t="s">
        <v>193</v>
      </c>
      <c r="H365" t="b">
        <v>1</v>
      </c>
      <c r="I365">
        <v>1</v>
      </c>
      <c r="J365" t="s">
        <v>194</v>
      </c>
      <c r="K365" s="40" t="b">
        <v>0</v>
      </c>
      <c r="L365" t="s">
        <v>203</v>
      </c>
      <c r="P365">
        <v>3</v>
      </c>
    </row>
    <row r="366" spans="1:16" x14ac:dyDescent="0.3">
      <c r="A366" t="s">
        <v>60</v>
      </c>
      <c r="B366" s="56" t="s">
        <v>61</v>
      </c>
      <c r="C366">
        <v>2025</v>
      </c>
      <c r="D366" t="s">
        <v>48</v>
      </c>
      <c r="E366" t="s">
        <v>214</v>
      </c>
      <c r="F366">
        <v>27</v>
      </c>
      <c r="G366" t="s">
        <v>193</v>
      </c>
      <c r="H366" t="b">
        <v>1</v>
      </c>
      <c r="I366">
        <v>1</v>
      </c>
      <c r="J366" t="s">
        <v>194</v>
      </c>
      <c r="K366" s="40" t="b">
        <v>0</v>
      </c>
      <c r="L366" t="s">
        <v>203</v>
      </c>
      <c r="P366">
        <v>4</v>
      </c>
    </row>
    <row r="367" spans="1:16" x14ac:dyDescent="0.3">
      <c r="A367" t="s">
        <v>60</v>
      </c>
      <c r="B367" s="56" t="s">
        <v>61</v>
      </c>
      <c r="C367">
        <v>2025</v>
      </c>
      <c r="D367" t="s">
        <v>49</v>
      </c>
      <c r="E367" t="s">
        <v>214</v>
      </c>
      <c r="F367">
        <v>20</v>
      </c>
      <c r="G367" t="s">
        <v>193</v>
      </c>
      <c r="H367" t="b">
        <v>1</v>
      </c>
      <c r="I367">
        <v>1</v>
      </c>
      <c r="J367" t="s">
        <v>194</v>
      </c>
      <c r="K367" s="40" t="b">
        <v>0</v>
      </c>
      <c r="L367" t="s">
        <v>203</v>
      </c>
      <c r="P367">
        <v>5</v>
      </c>
    </row>
    <row r="368" spans="1:16" x14ac:dyDescent="0.3">
      <c r="A368" t="s">
        <v>60</v>
      </c>
      <c r="B368" s="56" t="s">
        <v>61</v>
      </c>
      <c r="C368">
        <v>2025</v>
      </c>
      <c r="D368" t="s">
        <v>50</v>
      </c>
      <c r="E368" t="s">
        <v>214</v>
      </c>
      <c r="F368">
        <v>39</v>
      </c>
      <c r="G368" t="s">
        <v>193</v>
      </c>
      <c r="H368" t="b">
        <v>1</v>
      </c>
      <c r="I368">
        <v>1</v>
      </c>
      <c r="J368" t="s">
        <v>194</v>
      </c>
      <c r="K368" s="40" t="b">
        <v>0</v>
      </c>
      <c r="L368" t="s">
        <v>203</v>
      </c>
      <c r="P368">
        <v>6</v>
      </c>
    </row>
    <row r="369" spans="1:16" x14ac:dyDescent="0.3">
      <c r="A369" t="s">
        <v>60</v>
      </c>
      <c r="B369" s="56" t="s">
        <v>61</v>
      </c>
      <c r="C369">
        <v>2025</v>
      </c>
      <c r="D369" t="s">
        <v>51</v>
      </c>
      <c r="E369" t="s">
        <v>214</v>
      </c>
      <c r="F369">
        <v>28</v>
      </c>
      <c r="G369" t="s">
        <v>193</v>
      </c>
      <c r="H369" t="b">
        <v>1</v>
      </c>
      <c r="I369">
        <v>1</v>
      </c>
      <c r="J369" t="s">
        <v>194</v>
      </c>
      <c r="K369" s="40" t="b">
        <v>0</v>
      </c>
      <c r="L369" t="s">
        <v>203</v>
      </c>
      <c r="P369">
        <v>7</v>
      </c>
    </row>
    <row r="370" spans="1:16" x14ac:dyDescent="0.3">
      <c r="A370" t="s">
        <v>60</v>
      </c>
      <c r="B370" s="56" t="s">
        <v>61</v>
      </c>
      <c r="C370">
        <v>2025</v>
      </c>
      <c r="D370" t="s">
        <v>52</v>
      </c>
      <c r="E370" t="s">
        <v>214</v>
      </c>
      <c r="F370">
        <v>30</v>
      </c>
      <c r="G370" t="s">
        <v>193</v>
      </c>
      <c r="H370" t="b">
        <v>1</v>
      </c>
      <c r="I370">
        <v>1</v>
      </c>
      <c r="J370" t="s">
        <v>194</v>
      </c>
      <c r="K370" s="40" t="b">
        <v>0</v>
      </c>
      <c r="L370" t="s">
        <v>203</v>
      </c>
      <c r="P370">
        <v>8</v>
      </c>
    </row>
    <row r="371" spans="1:16" x14ac:dyDescent="0.3">
      <c r="A371" t="s">
        <v>60</v>
      </c>
      <c r="B371" s="56" t="s">
        <v>61</v>
      </c>
      <c r="C371">
        <v>2025</v>
      </c>
      <c r="D371" t="s">
        <v>53</v>
      </c>
      <c r="E371" t="s">
        <v>214</v>
      </c>
      <c r="F371">
        <v>46</v>
      </c>
      <c r="G371" t="s">
        <v>193</v>
      </c>
      <c r="H371" t="b">
        <v>1</v>
      </c>
      <c r="I371">
        <v>1</v>
      </c>
      <c r="J371" t="s">
        <v>194</v>
      </c>
      <c r="K371" s="40" t="b">
        <v>0</v>
      </c>
      <c r="L371" t="s">
        <v>203</v>
      </c>
      <c r="P371">
        <v>9</v>
      </c>
    </row>
    <row r="372" spans="1:16" x14ac:dyDescent="0.3">
      <c r="A372" t="s">
        <v>60</v>
      </c>
      <c r="B372" s="56" t="s">
        <v>61</v>
      </c>
      <c r="C372">
        <v>2025</v>
      </c>
      <c r="D372" t="s">
        <v>54</v>
      </c>
      <c r="E372" t="s">
        <v>214</v>
      </c>
      <c r="F372">
        <v>45</v>
      </c>
      <c r="G372" t="s">
        <v>193</v>
      </c>
      <c r="H372" t="b">
        <v>1</v>
      </c>
      <c r="I372">
        <v>1</v>
      </c>
      <c r="J372" t="s">
        <v>194</v>
      </c>
      <c r="K372" s="40" t="b">
        <v>0</v>
      </c>
      <c r="L372" t="s">
        <v>203</v>
      </c>
      <c r="P372">
        <v>10</v>
      </c>
    </row>
    <row r="373" spans="1:16" x14ac:dyDescent="0.3">
      <c r="A373" t="s">
        <v>60</v>
      </c>
      <c r="B373" s="56" t="s">
        <v>61</v>
      </c>
      <c r="C373">
        <v>2025</v>
      </c>
      <c r="D373" t="s">
        <v>55</v>
      </c>
      <c r="E373" t="s">
        <v>214</v>
      </c>
      <c r="F373">
        <v>29</v>
      </c>
      <c r="G373" t="s">
        <v>193</v>
      </c>
      <c r="H373" t="b">
        <v>1</v>
      </c>
      <c r="I373">
        <v>1</v>
      </c>
      <c r="J373" t="s">
        <v>194</v>
      </c>
      <c r="K373" s="40" t="b">
        <v>0</v>
      </c>
      <c r="L373" t="s">
        <v>203</v>
      </c>
      <c r="P373">
        <v>11</v>
      </c>
    </row>
    <row r="374" spans="1:16" x14ac:dyDescent="0.3">
      <c r="A374" t="s">
        <v>60</v>
      </c>
      <c r="B374" s="56" t="s">
        <v>61</v>
      </c>
      <c r="C374">
        <v>2025</v>
      </c>
      <c r="D374" t="s">
        <v>56</v>
      </c>
      <c r="E374" t="s">
        <v>214</v>
      </c>
      <c r="F374">
        <v>28</v>
      </c>
      <c r="G374" t="s">
        <v>193</v>
      </c>
      <c r="H374" t="b">
        <v>1</v>
      </c>
      <c r="I374">
        <v>1</v>
      </c>
      <c r="J374" t="s">
        <v>194</v>
      </c>
      <c r="K374" s="40" t="b">
        <v>0</v>
      </c>
      <c r="L374" t="s">
        <v>203</v>
      </c>
      <c r="P374">
        <v>12</v>
      </c>
    </row>
    <row r="377" spans="1:16" x14ac:dyDescent="0.3">
      <c r="A377" t="s">
        <v>69</v>
      </c>
      <c r="B377" s="57" t="s">
        <v>70</v>
      </c>
      <c r="C377">
        <v>2025</v>
      </c>
      <c r="D377" t="s">
        <v>2</v>
      </c>
      <c r="E377" t="s">
        <v>202</v>
      </c>
      <c r="F377">
        <v>88</v>
      </c>
      <c r="G377" t="s">
        <v>193</v>
      </c>
      <c r="H377" t="b">
        <v>1</v>
      </c>
      <c r="I377">
        <v>1</v>
      </c>
      <c r="J377" t="s">
        <v>194</v>
      </c>
      <c r="K377" s="40" t="b">
        <v>0</v>
      </c>
      <c r="L377" t="s">
        <v>203</v>
      </c>
      <c r="P377">
        <v>1</v>
      </c>
    </row>
    <row r="378" spans="1:16" x14ac:dyDescent="0.3">
      <c r="A378" t="s">
        <v>69</v>
      </c>
      <c r="B378" s="57" t="s">
        <v>70</v>
      </c>
      <c r="C378">
        <v>2025</v>
      </c>
      <c r="D378" t="s">
        <v>46</v>
      </c>
      <c r="E378" t="s">
        <v>202</v>
      </c>
      <c r="F378">
        <v>45</v>
      </c>
      <c r="G378" t="s">
        <v>193</v>
      </c>
      <c r="H378" t="b">
        <v>1</v>
      </c>
      <c r="I378">
        <v>1</v>
      </c>
      <c r="J378" t="s">
        <v>194</v>
      </c>
      <c r="K378" s="40" t="b">
        <v>0</v>
      </c>
      <c r="L378" t="s">
        <v>203</v>
      </c>
      <c r="P378">
        <v>2</v>
      </c>
    </row>
    <row r="379" spans="1:16" x14ac:dyDescent="0.3">
      <c r="A379" t="s">
        <v>69</v>
      </c>
      <c r="B379" s="57" t="s">
        <v>70</v>
      </c>
      <c r="C379">
        <v>2025</v>
      </c>
      <c r="D379" t="s">
        <v>47</v>
      </c>
      <c r="E379" t="s">
        <v>202</v>
      </c>
      <c r="F379">
        <v>45</v>
      </c>
      <c r="G379" t="s">
        <v>193</v>
      </c>
      <c r="H379" t="b">
        <v>1</v>
      </c>
      <c r="I379">
        <v>1</v>
      </c>
      <c r="J379" t="s">
        <v>194</v>
      </c>
      <c r="K379" s="40" t="b">
        <v>0</v>
      </c>
      <c r="L379" t="s">
        <v>203</v>
      </c>
      <c r="P379">
        <v>3</v>
      </c>
    </row>
    <row r="380" spans="1:16" x14ac:dyDescent="0.3">
      <c r="A380" t="s">
        <v>69</v>
      </c>
      <c r="B380" s="57" t="s">
        <v>70</v>
      </c>
      <c r="C380">
        <v>2025</v>
      </c>
      <c r="D380" t="s">
        <v>48</v>
      </c>
      <c r="E380" t="s">
        <v>202</v>
      </c>
      <c r="F380">
        <v>59</v>
      </c>
      <c r="G380" t="s">
        <v>193</v>
      </c>
      <c r="H380" t="b">
        <v>1</v>
      </c>
      <c r="I380">
        <v>1</v>
      </c>
      <c r="J380" t="s">
        <v>194</v>
      </c>
      <c r="K380" s="40" t="b">
        <v>0</v>
      </c>
      <c r="L380" t="s">
        <v>203</v>
      </c>
      <c r="P380">
        <v>4</v>
      </c>
    </row>
    <row r="381" spans="1:16" x14ac:dyDescent="0.3">
      <c r="A381" t="s">
        <v>69</v>
      </c>
      <c r="B381" s="57" t="s">
        <v>70</v>
      </c>
      <c r="C381">
        <v>2025</v>
      </c>
      <c r="D381" t="s">
        <v>49</v>
      </c>
      <c r="E381" t="s">
        <v>202</v>
      </c>
      <c r="F381">
        <v>63</v>
      </c>
      <c r="G381" t="s">
        <v>193</v>
      </c>
      <c r="H381" t="b">
        <v>1</v>
      </c>
      <c r="I381">
        <v>1</v>
      </c>
      <c r="J381" t="s">
        <v>194</v>
      </c>
      <c r="K381" s="40" t="b">
        <v>0</v>
      </c>
      <c r="L381" t="s">
        <v>203</v>
      </c>
      <c r="P381">
        <v>5</v>
      </c>
    </row>
    <row r="382" spans="1:16" x14ac:dyDescent="0.3">
      <c r="A382" t="s">
        <v>69</v>
      </c>
      <c r="B382" s="57" t="s">
        <v>70</v>
      </c>
      <c r="C382">
        <v>2025</v>
      </c>
      <c r="D382" t="s">
        <v>50</v>
      </c>
      <c r="E382" t="s">
        <v>202</v>
      </c>
      <c r="F382">
        <v>103</v>
      </c>
      <c r="G382" t="s">
        <v>193</v>
      </c>
      <c r="H382" t="b">
        <v>1</v>
      </c>
      <c r="I382">
        <v>1</v>
      </c>
      <c r="J382" t="s">
        <v>194</v>
      </c>
      <c r="K382" s="40" t="b">
        <v>0</v>
      </c>
      <c r="L382" t="s">
        <v>203</v>
      </c>
      <c r="P382">
        <v>6</v>
      </c>
    </row>
    <row r="383" spans="1:16" x14ac:dyDescent="0.3">
      <c r="A383" t="s">
        <v>69</v>
      </c>
      <c r="B383" s="57" t="s">
        <v>70</v>
      </c>
      <c r="C383">
        <v>2025</v>
      </c>
      <c r="D383" t="s">
        <v>51</v>
      </c>
      <c r="E383" t="s">
        <v>202</v>
      </c>
      <c r="F383">
        <v>118</v>
      </c>
      <c r="G383" t="s">
        <v>193</v>
      </c>
      <c r="H383" t="b">
        <v>1</v>
      </c>
      <c r="I383">
        <v>1</v>
      </c>
      <c r="J383" t="s">
        <v>194</v>
      </c>
      <c r="K383" s="40" t="b">
        <v>0</v>
      </c>
      <c r="L383" t="s">
        <v>203</v>
      </c>
      <c r="P383">
        <v>7</v>
      </c>
    </row>
    <row r="384" spans="1:16" x14ac:dyDescent="0.3">
      <c r="A384" t="s">
        <v>69</v>
      </c>
      <c r="B384" s="57" t="s">
        <v>70</v>
      </c>
      <c r="C384">
        <v>2025</v>
      </c>
      <c r="D384" t="s">
        <v>52</v>
      </c>
      <c r="E384" t="s">
        <v>202</v>
      </c>
      <c r="F384">
        <v>104</v>
      </c>
      <c r="G384" t="s">
        <v>193</v>
      </c>
      <c r="H384" t="b">
        <v>1</v>
      </c>
      <c r="I384">
        <v>1</v>
      </c>
      <c r="J384" t="s">
        <v>194</v>
      </c>
      <c r="K384" s="40" t="b">
        <v>0</v>
      </c>
      <c r="L384" t="s">
        <v>203</v>
      </c>
      <c r="P384">
        <v>8</v>
      </c>
    </row>
    <row r="385" spans="1:16" x14ac:dyDescent="0.3">
      <c r="A385" t="s">
        <v>69</v>
      </c>
      <c r="B385" s="57" t="s">
        <v>70</v>
      </c>
      <c r="C385">
        <v>2025</v>
      </c>
      <c r="D385" t="s">
        <v>53</v>
      </c>
      <c r="E385" t="s">
        <v>202</v>
      </c>
      <c r="F385">
        <v>85</v>
      </c>
      <c r="G385" t="s">
        <v>193</v>
      </c>
      <c r="H385" t="b">
        <v>1</v>
      </c>
      <c r="I385">
        <v>1</v>
      </c>
      <c r="J385" t="s">
        <v>194</v>
      </c>
      <c r="K385" s="40" t="b">
        <v>0</v>
      </c>
      <c r="L385" t="s">
        <v>203</v>
      </c>
      <c r="P385">
        <v>9</v>
      </c>
    </row>
    <row r="386" spans="1:16" x14ac:dyDescent="0.3">
      <c r="A386" t="s">
        <v>69</v>
      </c>
      <c r="B386" s="57" t="s">
        <v>70</v>
      </c>
      <c r="C386">
        <v>2025</v>
      </c>
      <c r="D386" t="s">
        <v>54</v>
      </c>
      <c r="E386" t="s">
        <v>202</v>
      </c>
      <c r="F386">
        <v>87</v>
      </c>
      <c r="G386" t="s">
        <v>193</v>
      </c>
      <c r="H386" t="b">
        <v>1</v>
      </c>
      <c r="I386">
        <v>1</v>
      </c>
      <c r="J386" t="s">
        <v>194</v>
      </c>
      <c r="K386" s="40" t="b">
        <v>0</v>
      </c>
      <c r="L386" t="s">
        <v>203</v>
      </c>
      <c r="P386">
        <v>10</v>
      </c>
    </row>
    <row r="387" spans="1:16" x14ac:dyDescent="0.3">
      <c r="A387" t="s">
        <v>69</v>
      </c>
      <c r="B387" s="57" t="s">
        <v>70</v>
      </c>
      <c r="C387">
        <v>2025</v>
      </c>
      <c r="D387" t="s">
        <v>55</v>
      </c>
      <c r="E387" t="s">
        <v>202</v>
      </c>
      <c r="F387">
        <v>36</v>
      </c>
      <c r="G387" t="s">
        <v>193</v>
      </c>
      <c r="H387" t="b">
        <v>1</v>
      </c>
      <c r="I387">
        <v>1</v>
      </c>
      <c r="J387" t="s">
        <v>194</v>
      </c>
      <c r="K387" s="40" t="b">
        <v>0</v>
      </c>
      <c r="L387" t="s">
        <v>203</v>
      </c>
      <c r="P387">
        <v>11</v>
      </c>
    </row>
    <row r="388" spans="1:16" x14ac:dyDescent="0.3">
      <c r="A388" t="s">
        <v>69</v>
      </c>
      <c r="B388" s="57" t="s">
        <v>70</v>
      </c>
      <c r="C388">
        <v>2025</v>
      </c>
      <c r="D388" t="s">
        <v>56</v>
      </c>
      <c r="E388" t="s">
        <v>202</v>
      </c>
      <c r="F388">
        <v>75</v>
      </c>
      <c r="G388" t="s">
        <v>193</v>
      </c>
      <c r="H388" t="b">
        <v>1</v>
      </c>
      <c r="I388">
        <v>1</v>
      </c>
      <c r="J388" t="s">
        <v>194</v>
      </c>
      <c r="K388" s="40" t="b">
        <v>0</v>
      </c>
      <c r="L388" t="s">
        <v>203</v>
      </c>
      <c r="P388">
        <v>12</v>
      </c>
    </row>
    <row r="389" spans="1:16" x14ac:dyDescent="0.3">
      <c r="B389" s="57"/>
      <c r="K389" s="40"/>
    </row>
    <row r="390" spans="1:16" x14ac:dyDescent="0.3">
      <c r="A390" t="s">
        <v>69</v>
      </c>
      <c r="B390" s="57" t="s">
        <v>70</v>
      </c>
      <c r="C390">
        <v>2025</v>
      </c>
      <c r="D390" t="s">
        <v>2</v>
      </c>
      <c r="E390" t="s">
        <v>204</v>
      </c>
      <c r="F390">
        <v>113</v>
      </c>
      <c r="G390" t="s">
        <v>193</v>
      </c>
      <c r="H390" t="b">
        <v>1</v>
      </c>
      <c r="I390">
        <v>1</v>
      </c>
      <c r="J390" t="s">
        <v>194</v>
      </c>
      <c r="K390" s="40" t="b">
        <v>0</v>
      </c>
      <c r="L390" t="s">
        <v>205</v>
      </c>
      <c r="P390">
        <v>1</v>
      </c>
    </row>
    <row r="391" spans="1:16" x14ac:dyDescent="0.3">
      <c r="A391" t="s">
        <v>69</v>
      </c>
      <c r="B391" s="57" t="s">
        <v>70</v>
      </c>
      <c r="C391">
        <v>2025</v>
      </c>
      <c r="D391" t="s">
        <v>46</v>
      </c>
      <c r="E391" t="s">
        <v>204</v>
      </c>
      <c r="F391">
        <v>89</v>
      </c>
      <c r="G391" t="s">
        <v>193</v>
      </c>
      <c r="H391" t="b">
        <v>1</v>
      </c>
      <c r="I391">
        <v>1</v>
      </c>
      <c r="J391" t="s">
        <v>194</v>
      </c>
      <c r="K391" s="40" t="b">
        <v>0</v>
      </c>
      <c r="L391" t="s">
        <v>205</v>
      </c>
      <c r="P391">
        <v>2</v>
      </c>
    </row>
    <row r="392" spans="1:16" x14ac:dyDescent="0.3">
      <c r="A392" t="s">
        <v>69</v>
      </c>
      <c r="B392" s="57" t="s">
        <v>70</v>
      </c>
      <c r="C392">
        <v>2025</v>
      </c>
      <c r="D392" t="s">
        <v>47</v>
      </c>
      <c r="E392" t="s">
        <v>204</v>
      </c>
      <c r="F392">
        <v>70</v>
      </c>
      <c r="G392" t="s">
        <v>193</v>
      </c>
      <c r="H392" t="b">
        <v>1</v>
      </c>
      <c r="I392">
        <v>1</v>
      </c>
      <c r="J392" t="s">
        <v>194</v>
      </c>
      <c r="K392" s="40" t="b">
        <v>0</v>
      </c>
      <c r="L392" t="s">
        <v>203</v>
      </c>
      <c r="P392">
        <v>3</v>
      </c>
    </row>
    <row r="393" spans="1:16" x14ac:dyDescent="0.3">
      <c r="A393" t="s">
        <v>69</v>
      </c>
      <c r="B393" s="57" t="s">
        <v>70</v>
      </c>
      <c r="C393">
        <v>2025</v>
      </c>
      <c r="D393" t="s">
        <v>48</v>
      </c>
      <c r="E393" t="s">
        <v>204</v>
      </c>
      <c r="F393">
        <v>114</v>
      </c>
      <c r="G393" t="s">
        <v>193</v>
      </c>
      <c r="H393" t="b">
        <v>1</v>
      </c>
      <c r="I393">
        <v>1</v>
      </c>
      <c r="J393" t="s">
        <v>194</v>
      </c>
      <c r="K393" s="40" t="b">
        <v>0</v>
      </c>
      <c r="L393" t="s">
        <v>203</v>
      </c>
      <c r="P393">
        <v>4</v>
      </c>
    </row>
    <row r="394" spans="1:16" x14ac:dyDescent="0.3">
      <c r="A394" t="s">
        <v>69</v>
      </c>
      <c r="B394" s="57" t="s">
        <v>70</v>
      </c>
      <c r="C394">
        <v>2025</v>
      </c>
      <c r="D394" t="s">
        <v>49</v>
      </c>
      <c r="E394" t="s">
        <v>204</v>
      </c>
      <c r="F394">
        <v>71</v>
      </c>
      <c r="G394" t="s">
        <v>193</v>
      </c>
      <c r="H394" t="b">
        <v>1</v>
      </c>
      <c r="I394">
        <v>1</v>
      </c>
      <c r="J394" t="s">
        <v>194</v>
      </c>
      <c r="K394" s="40" t="b">
        <v>0</v>
      </c>
      <c r="L394" t="s">
        <v>205</v>
      </c>
      <c r="P394">
        <v>5</v>
      </c>
    </row>
    <row r="395" spans="1:16" x14ac:dyDescent="0.3">
      <c r="A395" t="s">
        <v>69</v>
      </c>
      <c r="B395" s="57" t="s">
        <v>70</v>
      </c>
      <c r="C395">
        <v>2025</v>
      </c>
      <c r="D395" t="s">
        <v>50</v>
      </c>
      <c r="E395" t="s">
        <v>204</v>
      </c>
      <c r="F395">
        <v>106</v>
      </c>
      <c r="G395" t="s">
        <v>193</v>
      </c>
      <c r="H395" t="b">
        <v>1</v>
      </c>
      <c r="I395">
        <v>1</v>
      </c>
      <c r="J395" t="s">
        <v>194</v>
      </c>
      <c r="K395" s="40" t="b">
        <v>0</v>
      </c>
      <c r="L395" t="s">
        <v>203</v>
      </c>
      <c r="P395">
        <v>6</v>
      </c>
    </row>
    <row r="396" spans="1:16" x14ac:dyDescent="0.3">
      <c r="A396" t="s">
        <v>69</v>
      </c>
      <c r="B396" s="57" t="s">
        <v>70</v>
      </c>
      <c r="C396">
        <v>2025</v>
      </c>
      <c r="D396" t="s">
        <v>51</v>
      </c>
      <c r="E396" t="s">
        <v>204</v>
      </c>
      <c r="F396">
        <v>94</v>
      </c>
      <c r="G396" t="s">
        <v>193</v>
      </c>
      <c r="H396" t="b">
        <v>1</v>
      </c>
      <c r="I396">
        <v>1</v>
      </c>
      <c r="J396" t="s">
        <v>194</v>
      </c>
      <c r="K396" s="40" t="b">
        <v>0</v>
      </c>
      <c r="L396" t="s">
        <v>203</v>
      </c>
      <c r="P396">
        <v>7</v>
      </c>
    </row>
    <row r="397" spans="1:16" x14ac:dyDescent="0.3">
      <c r="A397" t="s">
        <v>69</v>
      </c>
      <c r="B397" s="57" t="s">
        <v>70</v>
      </c>
      <c r="C397">
        <v>2025</v>
      </c>
      <c r="D397" t="s">
        <v>52</v>
      </c>
      <c r="E397" t="s">
        <v>204</v>
      </c>
      <c r="F397">
        <v>97</v>
      </c>
      <c r="G397" t="s">
        <v>193</v>
      </c>
      <c r="H397" t="b">
        <v>1</v>
      </c>
      <c r="I397">
        <v>1</v>
      </c>
      <c r="J397" t="s">
        <v>194</v>
      </c>
      <c r="K397" s="40" t="b">
        <v>0</v>
      </c>
      <c r="L397" t="s">
        <v>203</v>
      </c>
      <c r="P397">
        <v>8</v>
      </c>
    </row>
    <row r="398" spans="1:16" x14ac:dyDescent="0.3">
      <c r="A398" t="s">
        <v>69</v>
      </c>
      <c r="B398" s="57" t="s">
        <v>70</v>
      </c>
      <c r="C398">
        <v>2025</v>
      </c>
      <c r="D398" t="s">
        <v>53</v>
      </c>
      <c r="E398" t="s">
        <v>204</v>
      </c>
      <c r="F398">
        <v>24</v>
      </c>
      <c r="G398" t="s">
        <v>193</v>
      </c>
      <c r="H398" t="b">
        <v>1</v>
      </c>
      <c r="I398">
        <v>1</v>
      </c>
      <c r="J398" t="s">
        <v>194</v>
      </c>
      <c r="K398" s="40" t="b">
        <v>0</v>
      </c>
      <c r="L398" t="s">
        <v>203</v>
      </c>
      <c r="P398">
        <v>9</v>
      </c>
    </row>
    <row r="399" spans="1:16" x14ac:dyDescent="0.3">
      <c r="A399" t="s">
        <v>69</v>
      </c>
      <c r="B399" s="57" t="s">
        <v>70</v>
      </c>
      <c r="C399">
        <v>2025</v>
      </c>
      <c r="D399" t="s">
        <v>54</v>
      </c>
      <c r="E399" t="s">
        <v>204</v>
      </c>
      <c r="F399">
        <v>51</v>
      </c>
      <c r="G399" t="s">
        <v>193</v>
      </c>
      <c r="H399" t="b">
        <v>1</v>
      </c>
      <c r="I399">
        <v>1</v>
      </c>
      <c r="J399" t="s">
        <v>194</v>
      </c>
      <c r="K399" s="40" t="b">
        <v>0</v>
      </c>
      <c r="L399" t="s">
        <v>203</v>
      </c>
      <c r="P399">
        <v>10</v>
      </c>
    </row>
    <row r="400" spans="1:16" x14ac:dyDescent="0.3">
      <c r="A400" t="s">
        <v>69</v>
      </c>
      <c r="B400" s="57" t="s">
        <v>70</v>
      </c>
      <c r="C400">
        <v>2025</v>
      </c>
      <c r="D400" t="s">
        <v>55</v>
      </c>
      <c r="E400" t="s">
        <v>204</v>
      </c>
      <c r="F400">
        <v>80</v>
      </c>
      <c r="G400" t="s">
        <v>193</v>
      </c>
      <c r="H400" t="b">
        <v>1</v>
      </c>
      <c r="I400">
        <v>1</v>
      </c>
      <c r="J400" t="s">
        <v>194</v>
      </c>
      <c r="K400" s="40" t="b">
        <v>0</v>
      </c>
      <c r="L400" t="s">
        <v>203</v>
      </c>
      <c r="P400">
        <v>11</v>
      </c>
    </row>
    <row r="401" spans="1:16" x14ac:dyDescent="0.3">
      <c r="A401" t="s">
        <v>69</v>
      </c>
      <c r="B401" s="57" t="s">
        <v>70</v>
      </c>
      <c r="C401">
        <v>2025</v>
      </c>
      <c r="D401" t="s">
        <v>56</v>
      </c>
      <c r="E401" t="s">
        <v>204</v>
      </c>
      <c r="F401">
        <v>58</v>
      </c>
      <c r="G401" t="s">
        <v>193</v>
      </c>
      <c r="H401" t="b">
        <v>1</v>
      </c>
      <c r="I401">
        <v>1</v>
      </c>
      <c r="J401" t="s">
        <v>194</v>
      </c>
      <c r="K401" s="40" t="b">
        <v>0</v>
      </c>
      <c r="L401" t="s">
        <v>203</v>
      </c>
      <c r="P401">
        <v>12</v>
      </c>
    </row>
    <row r="402" spans="1:16" x14ac:dyDescent="0.3">
      <c r="B402" s="57"/>
      <c r="K402" s="40"/>
    </row>
    <row r="403" spans="1:16" x14ac:dyDescent="0.3">
      <c r="A403" t="s">
        <v>69</v>
      </c>
      <c r="B403" s="57" t="s">
        <v>70</v>
      </c>
      <c r="C403">
        <v>2025</v>
      </c>
      <c r="D403" t="s">
        <v>2</v>
      </c>
      <c r="E403" t="s">
        <v>206</v>
      </c>
      <c r="F403">
        <v>20</v>
      </c>
      <c r="G403" t="s">
        <v>193</v>
      </c>
      <c r="H403" t="b">
        <v>1</v>
      </c>
      <c r="I403">
        <v>1</v>
      </c>
      <c r="J403" t="s">
        <v>194</v>
      </c>
      <c r="K403" s="40" t="b">
        <v>0</v>
      </c>
      <c r="L403" t="s">
        <v>207</v>
      </c>
      <c r="P403">
        <v>1</v>
      </c>
    </row>
    <row r="404" spans="1:16" x14ac:dyDescent="0.3">
      <c r="A404" t="s">
        <v>69</v>
      </c>
      <c r="B404" s="57" t="s">
        <v>70</v>
      </c>
      <c r="C404">
        <v>2025</v>
      </c>
      <c r="D404" t="s">
        <v>46</v>
      </c>
      <c r="E404" t="s">
        <v>206</v>
      </c>
      <c r="F404">
        <v>73</v>
      </c>
      <c r="G404" t="s">
        <v>193</v>
      </c>
      <c r="H404" t="b">
        <v>1</v>
      </c>
      <c r="I404">
        <v>1</v>
      </c>
      <c r="J404" t="s">
        <v>194</v>
      </c>
      <c r="K404" s="40" t="b">
        <v>0</v>
      </c>
      <c r="L404" t="s">
        <v>207</v>
      </c>
      <c r="P404">
        <v>2</v>
      </c>
    </row>
    <row r="405" spans="1:16" x14ac:dyDescent="0.3">
      <c r="A405" t="s">
        <v>69</v>
      </c>
      <c r="B405" s="57" t="s">
        <v>70</v>
      </c>
      <c r="C405">
        <v>2025</v>
      </c>
      <c r="D405" t="s">
        <v>47</v>
      </c>
      <c r="E405" t="s">
        <v>206</v>
      </c>
      <c r="F405">
        <v>42</v>
      </c>
      <c r="G405" t="s">
        <v>193</v>
      </c>
      <c r="H405" t="b">
        <v>1</v>
      </c>
      <c r="I405">
        <v>1</v>
      </c>
      <c r="J405" t="s">
        <v>194</v>
      </c>
      <c r="K405" s="40" t="b">
        <v>0</v>
      </c>
      <c r="L405" t="s">
        <v>207</v>
      </c>
      <c r="P405">
        <v>3</v>
      </c>
    </row>
    <row r="406" spans="1:16" x14ac:dyDescent="0.3">
      <c r="A406" t="s">
        <v>69</v>
      </c>
      <c r="B406" s="57" t="s">
        <v>70</v>
      </c>
      <c r="C406">
        <v>2025</v>
      </c>
      <c r="D406" t="s">
        <v>48</v>
      </c>
      <c r="E406" t="s">
        <v>206</v>
      </c>
      <c r="F406">
        <v>102</v>
      </c>
      <c r="G406" t="s">
        <v>193</v>
      </c>
      <c r="H406" t="b">
        <v>1</v>
      </c>
      <c r="I406">
        <v>1</v>
      </c>
      <c r="J406" t="s">
        <v>194</v>
      </c>
      <c r="K406" s="40" t="b">
        <v>0</v>
      </c>
      <c r="L406" t="s">
        <v>207</v>
      </c>
      <c r="P406">
        <v>4</v>
      </c>
    </row>
    <row r="407" spans="1:16" x14ac:dyDescent="0.3">
      <c r="A407" t="s">
        <v>69</v>
      </c>
      <c r="B407" s="57" t="s">
        <v>70</v>
      </c>
      <c r="C407">
        <v>2025</v>
      </c>
      <c r="D407" t="s">
        <v>49</v>
      </c>
      <c r="E407" t="s">
        <v>206</v>
      </c>
      <c r="F407">
        <v>80</v>
      </c>
      <c r="G407" t="s">
        <v>193</v>
      </c>
      <c r="H407" t="b">
        <v>1</v>
      </c>
      <c r="I407">
        <v>1</v>
      </c>
      <c r="J407" t="s">
        <v>194</v>
      </c>
      <c r="K407" s="40" t="b">
        <v>0</v>
      </c>
      <c r="L407" t="s">
        <v>207</v>
      </c>
      <c r="P407">
        <v>5</v>
      </c>
    </row>
    <row r="408" spans="1:16" x14ac:dyDescent="0.3">
      <c r="A408" t="s">
        <v>69</v>
      </c>
      <c r="B408" s="57" t="s">
        <v>70</v>
      </c>
      <c r="C408">
        <v>2025</v>
      </c>
      <c r="D408" t="s">
        <v>50</v>
      </c>
      <c r="E408" t="s">
        <v>206</v>
      </c>
      <c r="F408">
        <v>76</v>
      </c>
      <c r="G408" t="s">
        <v>193</v>
      </c>
      <c r="H408" t="b">
        <v>1</v>
      </c>
      <c r="I408">
        <v>1</v>
      </c>
      <c r="J408" t="s">
        <v>194</v>
      </c>
      <c r="K408" s="40" t="b">
        <v>0</v>
      </c>
      <c r="L408" t="s">
        <v>207</v>
      </c>
      <c r="P408">
        <v>6</v>
      </c>
    </row>
    <row r="409" spans="1:16" x14ac:dyDescent="0.3">
      <c r="A409" t="s">
        <v>69</v>
      </c>
      <c r="B409" s="57" t="s">
        <v>70</v>
      </c>
      <c r="C409">
        <v>2025</v>
      </c>
      <c r="D409" t="s">
        <v>51</v>
      </c>
      <c r="E409" t="s">
        <v>206</v>
      </c>
      <c r="F409">
        <v>111</v>
      </c>
      <c r="G409" t="s">
        <v>193</v>
      </c>
      <c r="H409" t="b">
        <v>1</v>
      </c>
      <c r="I409">
        <v>1</v>
      </c>
      <c r="J409" t="s">
        <v>194</v>
      </c>
      <c r="K409" s="40" t="b">
        <v>0</v>
      </c>
      <c r="L409" t="s">
        <v>207</v>
      </c>
      <c r="P409">
        <v>7</v>
      </c>
    </row>
    <row r="410" spans="1:16" x14ac:dyDescent="0.3">
      <c r="A410" t="s">
        <v>69</v>
      </c>
      <c r="B410" s="57" t="s">
        <v>70</v>
      </c>
      <c r="C410">
        <v>2025</v>
      </c>
      <c r="D410" t="s">
        <v>52</v>
      </c>
      <c r="E410" t="s">
        <v>206</v>
      </c>
      <c r="F410">
        <v>64</v>
      </c>
      <c r="G410" t="s">
        <v>193</v>
      </c>
      <c r="H410" t="b">
        <v>1</v>
      </c>
      <c r="I410">
        <v>1</v>
      </c>
      <c r="J410" t="s">
        <v>194</v>
      </c>
      <c r="K410" s="40" t="b">
        <v>0</v>
      </c>
      <c r="L410" t="s">
        <v>207</v>
      </c>
      <c r="P410">
        <v>8</v>
      </c>
    </row>
    <row r="411" spans="1:16" x14ac:dyDescent="0.3">
      <c r="A411" t="s">
        <v>69</v>
      </c>
      <c r="B411" s="57" t="s">
        <v>70</v>
      </c>
      <c r="C411">
        <v>2025</v>
      </c>
      <c r="D411" t="s">
        <v>53</v>
      </c>
      <c r="E411" t="s">
        <v>206</v>
      </c>
      <c r="F411">
        <v>24</v>
      </c>
      <c r="G411" t="s">
        <v>193</v>
      </c>
      <c r="H411" t="b">
        <v>1</v>
      </c>
      <c r="I411">
        <v>1</v>
      </c>
      <c r="J411" t="s">
        <v>194</v>
      </c>
      <c r="K411" s="40" t="b">
        <v>0</v>
      </c>
      <c r="L411" t="s">
        <v>207</v>
      </c>
      <c r="P411">
        <v>9</v>
      </c>
    </row>
    <row r="412" spans="1:16" x14ac:dyDescent="0.3">
      <c r="A412" t="s">
        <v>69</v>
      </c>
      <c r="B412" s="57" t="s">
        <v>70</v>
      </c>
      <c r="C412">
        <v>2025</v>
      </c>
      <c r="D412" t="s">
        <v>54</v>
      </c>
      <c r="E412" t="s">
        <v>206</v>
      </c>
      <c r="F412">
        <v>86</v>
      </c>
      <c r="G412" t="s">
        <v>193</v>
      </c>
      <c r="H412" t="b">
        <v>1</v>
      </c>
      <c r="I412">
        <v>1</v>
      </c>
      <c r="J412" t="s">
        <v>194</v>
      </c>
      <c r="K412" s="40" t="b">
        <v>0</v>
      </c>
      <c r="L412" t="s">
        <v>207</v>
      </c>
      <c r="P412">
        <v>10</v>
      </c>
    </row>
    <row r="413" spans="1:16" x14ac:dyDescent="0.3">
      <c r="A413" t="s">
        <v>69</v>
      </c>
      <c r="B413" s="57" t="s">
        <v>70</v>
      </c>
      <c r="C413">
        <v>2025</v>
      </c>
      <c r="D413" t="s">
        <v>55</v>
      </c>
      <c r="E413" t="s">
        <v>206</v>
      </c>
      <c r="F413">
        <v>111</v>
      </c>
      <c r="G413" t="s">
        <v>193</v>
      </c>
      <c r="H413" t="b">
        <v>1</v>
      </c>
      <c r="I413">
        <v>1</v>
      </c>
      <c r="J413" t="s">
        <v>194</v>
      </c>
      <c r="K413" s="40" t="b">
        <v>0</v>
      </c>
      <c r="L413" t="s">
        <v>207</v>
      </c>
      <c r="P413">
        <v>11</v>
      </c>
    </row>
    <row r="414" spans="1:16" x14ac:dyDescent="0.3">
      <c r="A414" t="s">
        <v>69</v>
      </c>
      <c r="B414" s="57" t="s">
        <v>70</v>
      </c>
      <c r="C414">
        <v>2025</v>
      </c>
      <c r="D414" t="s">
        <v>56</v>
      </c>
      <c r="E414" t="s">
        <v>206</v>
      </c>
      <c r="F414">
        <v>57</v>
      </c>
      <c r="G414" t="s">
        <v>193</v>
      </c>
      <c r="H414" t="b">
        <v>1</v>
      </c>
      <c r="I414">
        <v>1</v>
      </c>
      <c r="J414" t="s">
        <v>194</v>
      </c>
      <c r="K414" s="40" t="b">
        <v>0</v>
      </c>
      <c r="L414" t="s">
        <v>207</v>
      </c>
      <c r="P414">
        <v>12</v>
      </c>
    </row>
    <row r="415" spans="1:16" x14ac:dyDescent="0.3">
      <c r="B415" s="57"/>
      <c r="K415" s="40"/>
    </row>
    <row r="416" spans="1:16" x14ac:dyDescent="0.3">
      <c r="A416" t="s">
        <v>69</v>
      </c>
      <c r="B416" s="57" t="s">
        <v>70</v>
      </c>
      <c r="C416">
        <v>2025</v>
      </c>
      <c r="D416" t="s">
        <v>2</v>
      </c>
      <c r="E416" t="s">
        <v>208</v>
      </c>
      <c r="F416">
        <v>73</v>
      </c>
      <c r="G416" t="s">
        <v>193</v>
      </c>
      <c r="H416" t="b">
        <v>1</v>
      </c>
      <c r="I416">
        <v>1</v>
      </c>
      <c r="J416" t="s">
        <v>194</v>
      </c>
      <c r="K416" s="40" t="b">
        <v>0</v>
      </c>
      <c r="L416" t="s">
        <v>205</v>
      </c>
      <c r="P416">
        <v>1</v>
      </c>
    </row>
    <row r="417" spans="1:16" x14ac:dyDescent="0.3">
      <c r="A417" t="s">
        <v>69</v>
      </c>
      <c r="B417" s="57" t="s">
        <v>70</v>
      </c>
      <c r="C417">
        <v>2025</v>
      </c>
      <c r="D417" t="s">
        <v>46</v>
      </c>
      <c r="E417" t="s">
        <v>208</v>
      </c>
      <c r="F417">
        <v>86</v>
      </c>
      <c r="G417" t="s">
        <v>193</v>
      </c>
      <c r="H417" t="b">
        <v>1</v>
      </c>
      <c r="I417">
        <v>1</v>
      </c>
      <c r="J417" t="s">
        <v>194</v>
      </c>
      <c r="K417" s="40" t="b">
        <v>0</v>
      </c>
      <c r="L417" t="s">
        <v>205</v>
      </c>
      <c r="P417">
        <v>2</v>
      </c>
    </row>
    <row r="418" spans="1:16" x14ac:dyDescent="0.3">
      <c r="A418" t="s">
        <v>69</v>
      </c>
      <c r="B418" s="57" t="s">
        <v>70</v>
      </c>
      <c r="C418">
        <v>2025</v>
      </c>
      <c r="D418" t="s">
        <v>47</v>
      </c>
      <c r="E418" t="s">
        <v>208</v>
      </c>
      <c r="F418">
        <v>51</v>
      </c>
      <c r="G418" t="s">
        <v>193</v>
      </c>
      <c r="H418" t="b">
        <v>1</v>
      </c>
      <c r="I418">
        <v>1</v>
      </c>
      <c r="J418" t="s">
        <v>194</v>
      </c>
      <c r="K418" s="40" t="b">
        <v>0</v>
      </c>
      <c r="L418" t="s">
        <v>205</v>
      </c>
      <c r="P418">
        <v>3</v>
      </c>
    </row>
    <row r="419" spans="1:16" x14ac:dyDescent="0.3">
      <c r="A419" t="s">
        <v>69</v>
      </c>
      <c r="B419" s="57" t="s">
        <v>70</v>
      </c>
      <c r="C419">
        <v>2025</v>
      </c>
      <c r="D419" t="s">
        <v>48</v>
      </c>
      <c r="E419" t="s">
        <v>208</v>
      </c>
      <c r="F419">
        <v>102</v>
      </c>
      <c r="G419" t="s">
        <v>193</v>
      </c>
      <c r="H419" t="b">
        <v>1</v>
      </c>
      <c r="I419">
        <v>1</v>
      </c>
      <c r="J419" t="s">
        <v>194</v>
      </c>
      <c r="K419" s="40" t="b">
        <v>0</v>
      </c>
      <c r="L419" t="s">
        <v>205</v>
      </c>
      <c r="P419">
        <v>4</v>
      </c>
    </row>
    <row r="420" spans="1:16" x14ac:dyDescent="0.3">
      <c r="A420" t="s">
        <v>69</v>
      </c>
      <c r="B420" s="57" t="s">
        <v>70</v>
      </c>
      <c r="C420">
        <v>2025</v>
      </c>
      <c r="D420" t="s">
        <v>49</v>
      </c>
      <c r="E420" t="s">
        <v>208</v>
      </c>
      <c r="F420">
        <v>80</v>
      </c>
      <c r="G420" t="s">
        <v>193</v>
      </c>
      <c r="H420" t="b">
        <v>1</v>
      </c>
      <c r="I420">
        <v>1</v>
      </c>
      <c r="J420" t="s">
        <v>194</v>
      </c>
      <c r="K420" s="40" t="b">
        <v>0</v>
      </c>
      <c r="L420" t="s">
        <v>203</v>
      </c>
      <c r="P420">
        <v>5</v>
      </c>
    </row>
    <row r="421" spans="1:16" x14ac:dyDescent="0.3">
      <c r="A421" t="s">
        <v>69</v>
      </c>
      <c r="B421" s="57" t="s">
        <v>70</v>
      </c>
      <c r="C421">
        <v>2025</v>
      </c>
      <c r="D421" t="s">
        <v>50</v>
      </c>
      <c r="E421" t="s">
        <v>208</v>
      </c>
      <c r="F421">
        <v>106</v>
      </c>
      <c r="G421" t="s">
        <v>193</v>
      </c>
      <c r="H421" t="b">
        <v>1</v>
      </c>
      <c r="I421">
        <v>1</v>
      </c>
      <c r="J421" t="s">
        <v>194</v>
      </c>
      <c r="K421" s="40" t="b">
        <v>0</v>
      </c>
      <c r="L421" t="s">
        <v>205</v>
      </c>
      <c r="P421">
        <v>6</v>
      </c>
    </row>
    <row r="422" spans="1:16" x14ac:dyDescent="0.3">
      <c r="A422" t="s">
        <v>69</v>
      </c>
      <c r="B422" s="57" t="s">
        <v>70</v>
      </c>
      <c r="C422">
        <v>2025</v>
      </c>
      <c r="D422" t="s">
        <v>51</v>
      </c>
      <c r="E422" t="s">
        <v>208</v>
      </c>
      <c r="F422">
        <v>43</v>
      </c>
      <c r="G422" t="s">
        <v>193</v>
      </c>
      <c r="H422" t="b">
        <v>1</v>
      </c>
      <c r="I422">
        <v>1</v>
      </c>
      <c r="J422" t="s">
        <v>194</v>
      </c>
      <c r="K422" s="40" t="b">
        <v>0</v>
      </c>
      <c r="L422" t="s">
        <v>205</v>
      </c>
      <c r="P422">
        <v>7</v>
      </c>
    </row>
    <row r="423" spans="1:16" x14ac:dyDescent="0.3">
      <c r="A423" t="s">
        <v>69</v>
      </c>
      <c r="B423" s="57" t="s">
        <v>70</v>
      </c>
      <c r="C423">
        <v>2025</v>
      </c>
      <c r="D423" t="s">
        <v>52</v>
      </c>
      <c r="E423" t="s">
        <v>208</v>
      </c>
      <c r="F423">
        <v>24</v>
      </c>
      <c r="G423" t="s">
        <v>193</v>
      </c>
      <c r="H423" t="b">
        <v>1</v>
      </c>
      <c r="I423">
        <v>1</v>
      </c>
      <c r="J423" t="s">
        <v>194</v>
      </c>
      <c r="K423" s="40" t="b">
        <v>0</v>
      </c>
      <c r="L423" t="s">
        <v>205</v>
      </c>
      <c r="P423">
        <v>8</v>
      </c>
    </row>
    <row r="424" spans="1:16" x14ac:dyDescent="0.3">
      <c r="A424" t="s">
        <v>69</v>
      </c>
      <c r="B424" s="57" t="s">
        <v>70</v>
      </c>
      <c r="C424">
        <v>2025</v>
      </c>
      <c r="D424" t="s">
        <v>53</v>
      </c>
      <c r="E424" t="s">
        <v>208</v>
      </c>
      <c r="F424">
        <v>52</v>
      </c>
      <c r="G424" t="s">
        <v>193</v>
      </c>
      <c r="H424" t="b">
        <v>1</v>
      </c>
      <c r="I424">
        <v>1</v>
      </c>
      <c r="J424" t="s">
        <v>194</v>
      </c>
      <c r="K424" s="40" t="b">
        <v>0</v>
      </c>
      <c r="L424" t="s">
        <v>205</v>
      </c>
      <c r="P424">
        <v>9</v>
      </c>
    </row>
    <row r="425" spans="1:16" x14ac:dyDescent="0.3">
      <c r="A425" t="s">
        <v>69</v>
      </c>
      <c r="B425" s="57" t="s">
        <v>70</v>
      </c>
      <c r="C425">
        <v>2025</v>
      </c>
      <c r="D425" t="s">
        <v>54</v>
      </c>
      <c r="E425" t="s">
        <v>208</v>
      </c>
      <c r="F425">
        <v>79</v>
      </c>
      <c r="G425" t="s">
        <v>193</v>
      </c>
      <c r="H425" t="b">
        <v>1</v>
      </c>
      <c r="I425">
        <v>1</v>
      </c>
      <c r="J425" t="s">
        <v>194</v>
      </c>
      <c r="K425" s="40" t="b">
        <v>0</v>
      </c>
      <c r="L425" t="s">
        <v>205</v>
      </c>
      <c r="P425">
        <v>10</v>
      </c>
    </row>
    <row r="426" spans="1:16" x14ac:dyDescent="0.3">
      <c r="A426" t="s">
        <v>69</v>
      </c>
      <c r="B426" s="57" t="s">
        <v>70</v>
      </c>
      <c r="C426">
        <v>2025</v>
      </c>
      <c r="D426" t="s">
        <v>55</v>
      </c>
      <c r="E426" t="s">
        <v>208</v>
      </c>
      <c r="F426">
        <v>20</v>
      </c>
      <c r="G426" t="s">
        <v>193</v>
      </c>
      <c r="H426" t="b">
        <v>1</v>
      </c>
      <c r="I426">
        <v>1</v>
      </c>
      <c r="J426" t="s">
        <v>194</v>
      </c>
      <c r="K426" s="40" t="b">
        <v>0</v>
      </c>
      <c r="L426" t="s">
        <v>203</v>
      </c>
      <c r="P426">
        <v>11</v>
      </c>
    </row>
    <row r="427" spans="1:16" x14ac:dyDescent="0.3">
      <c r="A427" t="s">
        <v>69</v>
      </c>
      <c r="B427" s="57" t="s">
        <v>70</v>
      </c>
      <c r="C427">
        <v>2025</v>
      </c>
      <c r="D427" t="s">
        <v>56</v>
      </c>
      <c r="E427" t="s">
        <v>208</v>
      </c>
      <c r="F427">
        <v>85</v>
      </c>
      <c r="G427" t="s">
        <v>193</v>
      </c>
      <c r="H427" t="b">
        <v>1</v>
      </c>
      <c r="I427">
        <v>1</v>
      </c>
      <c r="J427" t="s">
        <v>194</v>
      </c>
      <c r="K427" s="40" t="b">
        <v>0</v>
      </c>
      <c r="L427" t="s">
        <v>203</v>
      </c>
      <c r="P427">
        <v>12</v>
      </c>
    </row>
    <row r="428" spans="1:16" x14ac:dyDescent="0.3">
      <c r="B428" s="57"/>
      <c r="K428" s="40"/>
    </row>
    <row r="429" spans="1:16" x14ac:dyDescent="0.3">
      <c r="A429" t="s">
        <v>69</v>
      </c>
      <c r="B429" s="57" t="s">
        <v>70</v>
      </c>
      <c r="C429">
        <v>2025</v>
      </c>
      <c r="D429" t="s">
        <v>2</v>
      </c>
      <c r="E429" t="s">
        <v>209</v>
      </c>
      <c r="F429">
        <v>93</v>
      </c>
      <c r="G429" t="s">
        <v>193</v>
      </c>
      <c r="H429" t="b">
        <v>1</v>
      </c>
      <c r="I429">
        <v>1</v>
      </c>
      <c r="J429" t="s">
        <v>194</v>
      </c>
      <c r="K429" s="40" t="b">
        <v>0</v>
      </c>
      <c r="L429" t="s">
        <v>203</v>
      </c>
      <c r="P429">
        <v>1</v>
      </c>
    </row>
    <row r="430" spans="1:16" x14ac:dyDescent="0.3">
      <c r="A430" t="s">
        <v>69</v>
      </c>
      <c r="B430" s="57" t="s">
        <v>70</v>
      </c>
      <c r="C430">
        <v>2025</v>
      </c>
      <c r="D430" t="s">
        <v>46</v>
      </c>
      <c r="E430" t="s">
        <v>209</v>
      </c>
      <c r="F430">
        <v>50</v>
      </c>
      <c r="G430" t="s">
        <v>193</v>
      </c>
      <c r="H430" t="b">
        <v>1</v>
      </c>
      <c r="I430">
        <v>1</v>
      </c>
      <c r="J430" t="s">
        <v>194</v>
      </c>
      <c r="K430" s="40" t="b">
        <v>0</v>
      </c>
      <c r="L430" t="s">
        <v>203</v>
      </c>
      <c r="P430">
        <v>2</v>
      </c>
    </row>
    <row r="431" spans="1:16" x14ac:dyDescent="0.3">
      <c r="A431" t="s">
        <v>69</v>
      </c>
      <c r="B431" s="57" t="s">
        <v>70</v>
      </c>
      <c r="C431">
        <v>2025</v>
      </c>
      <c r="D431" t="s">
        <v>47</v>
      </c>
      <c r="E431" t="s">
        <v>209</v>
      </c>
      <c r="F431">
        <v>96</v>
      </c>
      <c r="G431" t="s">
        <v>193</v>
      </c>
      <c r="H431" t="b">
        <v>1</v>
      </c>
      <c r="I431">
        <v>1</v>
      </c>
      <c r="J431" t="s">
        <v>194</v>
      </c>
      <c r="K431" s="40" t="b">
        <v>0</v>
      </c>
      <c r="L431" t="s">
        <v>203</v>
      </c>
      <c r="P431">
        <v>3</v>
      </c>
    </row>
    <row r="432" spans="1:16" x14ac:dyDescent="0.3">
      <c r="A432" t="s">
        <v>69</v>
      </c>
      <c r="B432" s="57" t="s">
        <v>70</v>
      </c>
      <c r="C432">
        <v>2025</v>
      </c>
      <c r="D432" t="s">
        <v>48</v>
      </c>
      <c r="E432" t="s">
        <v>209</v>
      </c>
      <c r="F432">
        <v>85</v>
      </c>
      <c r="G432" t="s">
        <v>193</v>
      </c>
      <c r="H432" t="b">
        <v>1</v>
      </c>
      <c r="I432">
        <v>1</v>
      </c>
      <c r="J432" t="s">
        <v>194</v>
      </c>
      <c r="K432" s="40" t="b">
        <v>0</v>
      </c>
      <c r="L432" t="s">
        <v>203</v>
      </c>
      <c r="P432">
        <v>4</v>
      </c>
    </row>
    <row r="433" spans="1:16" x14ac:dyDescent="0.3">
      <c r="A433" t="s">
        <v>69</v>
      </c>
      <c r="B433" s="57" t="s">
        <v>70</v>
      </c>
      <c r="C433">
        <v>2025</v>
      </c>
      <c r="D433" t="s">
        <v>49</v>
      </c>
      <c r="E433" t="s">
        <v>209</v>
      </c>
      <c r="F433">
        <v>23</v>
      </c>
      <c r="G433" t="s">
        <v>193</v>
      </c>
      <c r="H433" t="b">
        <v>1</v>
      </c>
      <c r="I433">
        <v>1</v>
      </c>
      <c r="J433" t="s">
        <v>194</v>
      </c>
      <c r="K433" s="40" t="b">
        <v>0</v>
      </c>
      <c r="L433" t="s">
        <v>203</v>
      </c>
      <c r="P433">
        <v>5</v>
      </c>
    </row>
    <row r="434" spans="1:16" x14ac:dyDescent="0.3">
      <c r="A434" t="s">
        <v>69</v>
      </c>
      <c r="B434" s="57" t="s">
        <v>70</v>
      </c>
      <c r="C434">
        <v>2025</v>
      </c>
      <c r="D434" t="s">
        <v>50</v>
      </c>
      <c r="E434" t="s">
        <v>209</v>
      </c>
      <c r="F434">
        <v>109</v>
      </c>
      <c r="G434" t="s">
        <v>193</v>
      </c>
      <c r="H434" t="b">
        <v>1</v>
      </c>
      <c r="I434">
        <v>1</v>
      </c>
      <c r="J434" t="s">
        <v>194</v>
      </c>
      <c r="K434" s="40" t="b">
        <v>0</v>
      </c>
      <c r="L434" t="s">
        <v>203</v>
      </c>
      <c r="P434">
        <v>6</v>
      </c>
    </row>
    <row r="435" spans="1:16" x14ac:dyDescent="0.3">
      <c r="A435" t="s">
        <v>69</v>
      </c>
      <c r="B435" s="57" t="s">
        <v>70</v>
      </c>
      <c r="C435">
        <v>2025</v>
      </c>
      <c r="D435" t="s">
        <v>51</v>
      </c>
      <c r="E435" t="s">
        <v>209</v>
      </c>
      <c r="F435">
        <v>80</v>
      </c>
      <c r="G435" t="s">
        <v>193</v>
      </c>
      <c r="H435" t="b">
        <v>1</v>
      </c>
      <c r="I435">
        <v>1</v>
      </c>
      <c r="J435" t="s">
        <v>194</v>
      </c>
      <c r="K435" s="40" t="b">
        <v>0</v>
      </c>
      <c r="L435" t="s">
        <v>203</v>
      </c>
      <c r="P435">
        <v>7</v>
      </c>
    </row>
    <row r="436" spans="1:16" x14ac:dyDescent="0.3">
      <c r="A436" t="s">
        <v>69</v>
      </c>
      <c r="B436" s="57" t="s">
        <v>70</v>
      </c>
      <c r="C436">
        <v>2025</v>
      </c>
      <c r="D436" t="s">
        <v>52</v>
      </c>
      <c r="E436" t="s">
        <v>209</v>
      </c>
      <c r="F436">
        <v>87</v>
      </c>
      <c r="G436" t="s">
        <v>193</v>
      </c>
      <c r="H436" t="b">
        <v>1</v>
      </c>
      <c r="I436">
        <v>1</v>
      </c>
      <c r="J436" t="s">
        <v>194</v>
      </c>
      <c r="K436" s="40" t="b">
        <v>0</v>
      </c>
      <c r="L436" t="s">
        <v>203</v>
      </c>
      <c r="P436">
        <v>8</v>
      </c>
    </row>
    <row r="437" spans="1:16" x14ac:dyDescent="0.3">
      <c r="A437" t="s">
        <v>69</v>
      </c>
      <c r="B437" s="57" t="s">
        <v>70</v>
      </c>
      <c r="C437">
        <v>2025</v>
      </c>
      <c r="D437" t="s">
        <v>53</v>
      </c>
      <c r="E437" t="s">
        <v>209</v>
      </c>
      <c r="F437">
        <v>32</v>
      </c>
      <c r="G437" t="s">
        <v>193</v>
      </c>
      <c r="H437" t="b">
        <v>1</v>
      </c>
      <c r="I437">
        <v>1</v>
      </c>
      <c r="J437" t="s">
        <v>194</v>
      </c>
      <c r="K437" s="40" t="b">
        <v>0</v>
      </c>
      <c r="L437" t="s">
        <v>203</v>
      </c>
      <c r="P437">
        <v>9</v>
      </c>
    </row>
    <row r="438" spans="1:16" x14ac:dyDescent="0.3">
      <c r="A438" t="s">
        <v>69</v>
      </c>
      <c r="B438" s="57" t="s">
        <v>70</v>
      </c>
      <c r="C438">
        <v>2025</v>
      </c>
      <c r="D438" t="s">
        <v>54</v>
      </c>
      <c r="E438" t="s">
        <v>209</v>
      </c>
      <c r="F438">
        <v>109</v>
      </c>
      <c r="G438" t="s">
        <v>193</v>
      </c>
      <c r="H438" t="b">
        <v>1</v>
      </c>
      <c r="I438">
        <v>1</v>
      </c>
      <c r="J438" t="s">
        <v>194</v>
      </c>
      <c r="K438" s="40" t="b">
        <v>0</v>
      </c>
      <c r="L438" t="s">
        <v>203</v>
      </c>
      <c r="P438">
        <v>10</v>
      </c>
    </row>
    <row r="439" spans="1:16" x14ac:dyDescent="0.3">
      <c r="A439" t="s">
        <v>69</v>
      </c>
      <c r="B439" s="57" t="s">
        <v>70</v>
      </c>
      <c r="C439">
        <v>2025</v>
      </c>
      <c r="D439" t="s">
        <v>55</v>
      </c>
      <c r="E439" t="s">
        <v>209</v>
      </c>
      <c r="F439">
        <v>49</v>
      </c>
      <c r="G439" t="s">
        <v>193</v>
      </c>
      <c r="H439" t="b">
        <v>1</v>
      </c>
      <c r="I439">
        <v>1</v>
      </c>
      <c r="J439" t="s">
        <v>194</v>
      </c>
      <c r="K439" s="40" t="b">
        <v>0</v>
      </c>
      <c r="L439" t="s">
        <v>203</v>
      </c>
      <c r="P439">
        <v>11</v>
      </c>
    </row>
    <row r="440" spans="1:16" x14ac:dyDescent="0.3">
      <c r="A440" t="s">
        <v>69</v>
      </c>
      <c r="B440" s="57" t="s">
        <v>70</v>
      </c>
      <c r="C440">
        <v>2025</v>
      </c>
      <c r="D440" t="s">
        <v>56</v>
      </c>
      <c r="E440" t="s">
        <v>209</v>
      </c>
      <c r="F440">
        <v>96</v>
      </c>
      <c r="G440" t="s">
        <v>193</v>
      </c>
      <c r="H440" t="b">
        <v>1</v>
      </c>
      <c r="I440">
        <v>1</v>
      </c>
      <c r="J440" t="s">
        <v>194</v>
      </c>
      <c r="K440" s="40" t="b">
        <v>0</v>
      </c>
      <c r="L440" t="s">
        <v>203</v>
      </c>
      <c r="P440">
        <v>12</v>
      </c>
    </row>
    <row r="441" spans="1:16" x14ac:dyDescent="0.3">
      <c r="B441" s="57"/>
      <c r="K441" s="40"/>
    </row>
    <row r="442" spans="1:16" x14ac:dyDescent="0.3">
      <c r="A442" t="s">
        <v>69</v>
      </c>
      <c r="B442" s="57" t="s">
        <v>70</v>
      </c>
      <c r="C442">
        <v>2025</v>
      </c>
      <c r="D442" t="s">
        <v>2</v>
      </c>
      <c r="E442" t="s">
        <v>210</v>
      </c>
      <c r="F442">
        <v>86</v>
      </c>
      <c r="G442" t="s">
        <v>193</v>
      </c>
      <c r="H442" t="b">
        <v>1</v>
      </c>
      <c r="I442">
        <v>1</v>
      </c>
      <c r="J442" t="s">
        <v>194</v>
      </c>
      <c r="K442" s="40" t="b">
        <v>0</v>
      </c>
      <c r="L442" t="s">
        <v>203</v>
      </c>
      <c r="P442">
        <v>1</v>
      </c>
    </row>
    <row r="443" spans="1:16" x14ac:dyDescent="0.3">
      <c r="A443" t="s">
        <v>69</v>
      </c>
      <c r="B443" s="57" t="s">
        <v>70</v>
      </c>
      <c r="C443">
        <v>2025</v>
      </c>
      <c r="D443" t="s">
        <v>46</v>
      </c>
      <c r="E443" t="s">
        <v>210</v>
      </c>
      <c r="F443">
        <v>34</v>
      </c>
      <c r="G443" t="s">
        <v>193</v>
      </c>
      <c r="H443" t="b">
        <v>1</v>
      </c>
      <c r="I443">
        <v>1</v>
      </c>
      <c r="J443" t="s">
        <v>194</v>
      </c>
      <c r="K443" s="40" t="b">
        <v>0</v>
      </c>
      <c r="L443" t="s">
        <v>203</v>
      </c>
      <c r="P443">
        <v>2</v>
      </c>
    </row>
    <row r="444" spans="1:16" x14ac:dyDescent="0.3">
      <c r="A444" t="s">
        <v>69</v>
      </c>
      <c r="B444" s="57" t="s">
        <v>70</v>
      </c>
      <c r="C444">
        <v>2025</v>
      </c>
      <c r="D444" t="s">
        <v>47</v>
      </c>
      <c r="E444" t="s">
        <v>210</v>
      </c>
      <c r="F444">
        <v>75</v>
      </c>
      <c r="G444" t="s">
        <v>193</v>
      </c>
      <c r="H444" t="b">
        <v>1</v>
      </c>
      <c r="I444">
        <v>1</v>
      </c>
      <c r="J444" t="s">
        <v>194</v>
      </c>
      <c r="K444" s="40" t="b">
        <v>0</v>
      </c>
      <c r="L444" t="s">
        <v>203</v>
      </c>
      <c r="P444">
        <v>3</v>
      </c>
    </row>
    <row r="445" spans="1:16" x14ac:dyDescent="0.3">
      <c r="A445" t="s">
        <v>69</v>
      </c>
      <c r="B445" s="57" t="s">
        <v>70</v>
      </c>
      <c r="C445">
        <v>2025</v>
      </c>
      <c r="D445" t="s">
        <v>48</v>
      </c>
      <c r="E445" t="s">
        <v>210</v>
      </c>
      <c r="F445">
        <v>53</v>
      </c>
      <c r="G445" t="s">
        <v>193</v>
      </c>
      <c r="H445" t="b">
        <v>1</v>
      </c>
      <c r="I445">
        <v>1</v>
      </c>
      <c r="J445" t="s">
        <v>194</v>
      </c>
      <c r="K445" s="40" t="b">
        <v>0</v>
      </c>
      <c r="L445" t="s">
        <v>203</v>
      </c>
      <c r="P445">
        <v>4</v>
      </c>
    </row>
    <row r="446" spans="1:16" x14ac:dyDescent="0.3">
      <c r="A446" t="s">
        <v>69</v>
      </c>
      <c r="B446" s="57" t="s">
        <v>70</v>
      </c>
      <c r="C446">
        <v>2025</v>
      </c>
      <c r="D446" t="s">
        <v>49</v>
      </c>
      <c r="E446" t="s">
        <v>210</v>
      </c>
      <c r="F446">
        <v>44</v>
      </c>
      <c r="G446" t="s">
        <v>193</v>
      </c>
      <c r="H446" t="b">
        <v>1</v>
      </c>
      <c r="I446">
        <v>1</v>
      </c>
      <c r="J446" t="s">
        <v>194</v>
      </c>
      <c r="K446" s="40" t="b">
        <v>0</v>
      </c>
      <c r="L446" t="s">
        <v>203</v>
      </c>
      <c r="P446">
        <v>5</v>
      </c>
    </row>
    <row r="447" spans="1:16" x14ac:dyDescent="0.3">
      <c r="A447" t="s">
        <v>69</v>
      </c>
      <c r="B447" s="57" t="s">
        <v>70</v>
      </c>
      <c r="C447">
        <v>2025</v>
      </c>
      <c r="D447" t="s">
        <v>50</v>
      </c>
      <c r="E447" t="s">
        <v>210</v>
      </c>
      <c r="F447">
        <v>94</v>
      </c>
      <c r="G447" t="s">
        <v>193</v>
      </c>
      <c r="H447" t="b">
        <v>1</v>
      </c>
      <c r="I447">
        <v>1</v>
      </c>
      <c r="J447" t="s">
        <v>194</v>
      </c>
      <c r="K447" s="40" t="b">
        <v>0</v>
      </c>
      <c r="L447" t="s">
        <v>203</v>
      </c>
      <c r="P447">
        <v>6</v>
      </c>
    </row>
    <row r="448" spans="1:16" x14ac:dyDescent="0.3">
      <c r="A448" t="s">
        <v>69</v>
      </c>
      <c r="B448" s="57" t="s">
        <v>70</v>
      </c>
      <c r="C448">
        <v>2025</v>
      </c>
      <c r="D448" t="s">
        <v>51</v>
      </c>
      <c r="E448" t="s">
        <v>210</v>
      </c>
      <c r="F448">
        <v>89</v>
      </c>
      <c r="G448" t="s">
        <v>193</v>
      </c>
      <c r="H448" t="b">
        <v>1</v>
      </c>
      <c r="I448">
        <v>1</v>
      </c>
      <c r="J448" t="s">
        <v>194</v>
      </c>
      <c r="K448" s="40" t="b">
        <v>0</v>
      </c>
      <c r="L448" t="s">
        <v>203</v>
      </c>
      <c r="P448">
        <v>7</v>
      </c>
    </row>
    <row r="449" spans="1:16" x14ac:dyDescent="0.3">
      <c r="A449" t="s">
        <v>69</v>
      </c>
      <c r="B449" s="57" t="s">
        <v>70</v>
      </c>
      <c r="C449">
        <v>2025</v>
      </c>
      <c r="D449" t="s">
        <v>52</v>
      </c>
      <c r="E449" t="s">
        <v>210</v>
      </c>
      <c r="F449">
        <v>47</v>
      </c>
      <c r="G449" t="s">
        <v>193</v>
      </c>
      <c r="H449" t="b">
        <v>1</v>
      </c>
      <c r="I449">
        <v>1</v>
      </c>
      <c r="J449" t="s">
        <v>194</v>
      </c>
      <c r="K449" s="40" t="b">
        <v>0</v>
      </c>
      <c r="L449" t="s">
        <v>203</v>
      </c>
      <c r="P449">
        <v>8</v>
      </c>
    </row>
    <row r="450" spans="1:16" x14ac:dyDescent="0.3">
      <c r="A450" t="s">
        <v>69</v>
      </c>
      <c r="B450" s="57" t="s">
        <v>70</v>
      </c>
      <c r="C450">
        <v>2025</v>
      </c>
      <c r="D450" t="s">
        <v>53</v>
      </c>
      <c r="E450" t="s">
        <v>210</v>
      </c>
      <c r="F450">
        <v>57</v>
      </c>
      <c r="G450" t="s">
        <v>193</v>
      </c>
      <c r="H450" t="b">
        <v>1</v>
      </c>
      <c r="I450">
        <v>1</v>
      </c>
      <c r="J450" t="s">
        <v>194</v>
      </c>
      <c r="K450" s="40" t="b">
        <v>0</v>
      </c>
      <c r="L450" t="s">
        <v>203</v>
      </c>
      <c r="P450">
        <v>9</v>
      </c>
    </row>
    <row r="451" spans="1:16" x14ac:dyDescent="0.3">
      <c r="A451" t="s">
        <v>69</v>
      </c>
      <c r="B451" s="57" t="s">
        <v>70</v>
      </c>
      <c r="C451">
        <v>2025</v>
      </c>
      <c r="D451" t="s">
        <v>54</v>
      </c>
      <c r="E451" t="s">
        <v>210</v>
      </c>
      <c r="F451">
        <v>71</v>
      </c>
      <c r="G451" t="s">
        <v>193</v>
      </c>
      <c r="H451" t="b">
        <v>1</v>
      </c>
      <c r="I451">
        <v>1</v>
      </c>
      <c r="J451" t="s">
        <v>194</v>
      </c>
      <c r="K451" s="40" t="b">
        <v>0</v>
      </c>
      <c r="L451" t="s">
        <v>203</v>
      </c>
      <c r="P451">
        <v>10</v>
      </c>
    </row>
    <row r="452" spans="1:16" x14ac:dyDescent="0.3">
      <c r="A452" t="s">
        <v>69</v>
      </c>
      <c r="B452" s="57" t="s">
        <v>70</v>
      </c>
      <c r="C452">
        <v>2025</v>
      </c>
      <c r="D452" t="s">
        <v>55</v>
      </c>
      <c r="E452" t="s">
        <v>210</v>
      </c>
      <c r="F452">
        <v>85</v>
      </c>
      <c r="G452" t="s">
        <v>193</v>
      </c>
      <c r="H452" t="b">
        <v>1</v>
      </c>
      <c r="I452">
        <v>1</v>
      </c>
      <c r="J452" t="s">
        <v>194</v>
      </c>
      <c r="K452" s="40" t="b">
        <v>0</v>
      </c>
      <c r="L452" t="s">
        <v>203</v>
      </c>
      <c r="P452">
        <v>11</v>
      </c>
    </row>
    <row r="453" spans="1:16" x14ac:dyDescent="0.3">
      <c r="A453" t="s">
        <v>69</v>
      </c>
      <c r="B453" s="57" t="s">
        <v>70</v>
      </c>
      <c r="C453">
        <v>2025</v>
      </c>
      <c r="D453" t="s">
        <v>56</v>
      </c>
      <c r="E453" t="s">
        <v>210</v>
      </c>
      <c r="F453">
        <v>35</v>
      </c>
      <c r="G453" t="s">
        <v>193</v>
      </c>
      <c r="H453" t="b">
        <v>1</v>
      </c>
      <c r="I453">
        <v>1</v>
      </c>
      <c r="J453" t="s">
        <v>194</v>
      </c>
      <c r="K453" s="40" t="b">
        <v>0</v>
      </c>
      <c r="L453" t="s">
        <v>203</v>
      </c>
      <c r="P453">
        <v>12</v>
      </c>
    </row>
    <row r="454" spans="1:16" x14ac:dyDescent="0.3">
      <c r="B454" s="57"/>
      <c r="K454" s="40"/>
    </row>
    <row r="455" spans="1:16" x14ac:dyDescent="0.3">
      <c r="A455" t="s">
        <v>69</v>
      </c>
      <c r="B455" s="57" t="s">
        <v>70</v>
      </c>
      <c r="C455">
        <v>2025</v>
      </c>
      <c r="D455" t="s">
        <v>2</v>
      </c>
      <c r="E455" t="s">
        <v>211</v>
      </c>
      <c r="F455">
        <v>115</v>
      </c>
      <c r="G455" t="s">
        <v>193</v>
      </c>
      <c r="H455" t="b">
        <v>1</v>
      </c>
      <c r="I455">
        <v>1</v>
      </c>
      <c r="J455" t="s">
        <v>194</v>
      </c>
      <c r="K455" s="40" t="b">
        <v>0</v>
      </c>
      <c r="L455" t="s">
        <v>207</v>
      </c>
      <c r="P455">
        <v>1</v>
      </c>
    </row>
    <row r="456" spans="1:16" x14ac:dyDescent="0.3">
      <c r="A456" t="s">
        <v>69</v>
      </c>
      <c r="B456" s="57" t="s">
        <v>70</v>
      </c>
      <c r="C456">
        <v>2025</v>
      </c>
      <c r="D456" t="s">
        <v>46</v>
      </c>
      <c r="E456" t="s">
        <v>211</v>
      </c>
      <c r="F456">
        <v>100</v>
      </c>
      <c r="G456" t="s">
        <v>193</v>
      </c>
      <c r="H456" t="b">
        <v>1</v>
      </c>
      <c r="I456">
        <v>1</v>
      </c>
      <c r="J456" t="s">
        <v>194</v>
      </c>
      <c r="K456" s="40" t="b">
        <v>0</v>
      </c>
      <c r="L456" t="s">
        <v>207</v>
      </c>
      <c r="P456">
        <v>2</v>
      </c>
    </row>
    <row r="457" spans="1:16" x14ac:dyDescent="0.3">
      <c r="A457" t="s">
        <v>69</v>
      </c>
      <c r="B457" s="57" t="s">
        <v>70</v>
      </c>
      <c r="C457">
        <v>2025</v>
      </c>
      <c r="D457" t="s">
        <v>47</v>
      </c>
      <c r="E457" t="s">
        <v>211</v>
      </c>
      <c r="F457">
        <v>33</v>
      </c>
      <c r="G457" t="s">
        <v>193</v>
      </c>
      <c r="H457" t="b">
        <v>1</v>
      </c>
      <c r="I457">
        <v>1</v>
      </c>
      <c r="J457" t="s">
        <v>194</v>
      </c>
      <c r="K457" s="40" t="b">
        <v>0</v>
      </c>
      <c r="L457" t="s">
        <v>207</v>
      </c>
      <c r="P457">
        <v>3</v>
      </c>
    </row>
    <row r="458" spans="1:16" x14ac:dyDescent="0.3">
      <c r="A458" t="s">
        <v>69</v>
      </c>
      <c r="B458" s="57" t="s">
        <v>70</v>
      </c>
      <c r="C458">
        <v>2025</v>
      </c>
      <c r="D458" t="s">
        <v>48</v>
      </c>
      <c r="E458" t="s">
        <v>211</v>
      </c>
      <c r="F458">
        <v>25</v>
      </c>
      <c r="G458" t="s">
        <v>193</v>
      </c>
      <c r="H458" t="b">
        <v>1</v>
      </c>
      <c r="I458">
        <v>1</v>
      </c>
      <c r="J458" t="s">
        <v>194</v>
      </c>
      <c r="K458" s="40" t="b">
        <v>0</v>
      </c>
      <c r="L458" t="s">
        <v>207</v>
      </c>
      <c r="P458">
        <v>4</v>
      </c>
    </row>
    <row r="459" spans="1:16" x14ac:dyDescent="0.3">
      <c r="A459" t="s">
        <v>69</v>
      </c>
      <c r="B459" s="57" t="s">
        <v>70</v>
      </c>
      <c r="C459">
        <v>2025</v>
      </c>
      <c r="D459" t="s">
        <v>49</v>
      </c>
      <c r="E459" t="s">
        <v>211</v>
      </c>
      <c r="F459">
        <v>96</v>
      </c>
      <c r="G459" t="s">
        <v>193</v>
      </c>
      <c r="H459" t="b">
        <v>1</v>
      </c>
      <c r="I459">
        <v>1</v>
      </c>
      <c r="J459" t="s">
        <v>194</v>
      </c>
      <c r="K459" s="40" t="b">
        <v>0</v>
      </c>
      <c r="L459" t="s">
        <v>207</v>
      </c>
      <c r="P459">
        <v>5</v>
      </c>
    </row>
    <row r="460" spans="1:16" x14ac:dyDescent="0.3">
      <c r="A460" t="s">
        <v>69</v>
      </c>
      <c r="B460" s="57" t="s">
        <v>70</v>
      </c>
      <c r="C460">
        <v>2025</v>
      </c>
      <c r="D460" t="s">
        <v>50</v>
      </c>
      <c r="E460" t="s">
        <v>211</v>
      </c>
      <c r="F460">
        <v>23</v>
      </c>
      <c r="G460" t="s">
        <v>193</v>
      </c>
      <c r="H460" t="b">
        <v>1</v>
      </c>
      <c r="I460">
        <v>1</v>
      </c>
      <c r="J460" t="s">
        <v>194</v>
      </c>
      <c r="K460" s="40" t="b">
        <v>0</v>
      </c>
      <c r="L460" t="s">
        <v>207</v>
      </c>
      <c r="P460">
        <v>6</v>
      </c>
    </row>
    <row r="461" spans="1:16" x14ac:dyDescent="0.3">
      <c r="A461" t="s">
        <v>69</v>
      </c>
      <c r="B461" s="57" t="s">
        <v>70</v>
      </c>
      <c r="C461">
        <v>2025</v>
      </c>
      <c r="D461" t="s">
        <v>51</v>
      </c>
      <c r="E461" t="s">
        <v>211</v>
      </c>
      <c r="F461">
        <v>104</v>
      </c>
      <c r="G461" t="s">
        <v>193</v>
      </c>
      <c r="H461" t="b">
        <v>1</v>
      </c>
      <c r="I461">
        <v>1</v>
      </c>
      <c r="J461" t="s">
        <v>194</v>
      </c>
      <c r="K461" s="40" t="b">
        <v>0</v>
      </c>
      <c r="L461" t="s">
        <v>207</v>
      </c>
      <c r="P461">
        <v>7</v>
      </c>
    </row>
    <row r="462" spans="1:16" x14ac:dyDescent="0.3">
      <c r="A462" t="s">
        <v>69</v>
      </c>
      <c r="B462" s="57" t="s">
        <v>70</v>
      </c>
      <c r="C462">
        <v>2025</v>
      </c>
      <c r="D462" t="s">
        <v>52</v>
      </c>
      <c r="E462" t="s">
        <v>211</v>
      </c>
      <c r="F462">
        <v>92</v>
      </c>
      <c r="G462" t="s">
        <v>193</v>
      </c>
      <c r="H462" t="b">
        <v>1</v>
      </c>
      <c r="I462">
        <v>1</v>
      </c>
      <c r="J462" t="s">
        <v>194</v>
      </c>
      <c r="K462" s="40" t="b">
        <v>0</v>
      </c>
      <c r="L462" t="s">
        <v>207</v>
      </c>
      <c r="P462">
        <v>8</v>
      </c>
    </row>
    <row r="463" spans="1:16" x14ac:dyDescent="0.3">
      <c r="A463" t="s">
        <v>69</v>
      </c>
      <c r="B463" s="57" t="s">
        <v>70</v>
      </c>
      <c r="C463">
        <v>2025</v>
      </c>
      <c r="D463" t="s">
        <v>53</v>
      </c>
      <c r="E463" t="s">
        <v>211</v>
      </c>
      <c r="F463">
        <v>84</v>
      </c>
      <c r="G463" t="s">
        <v>193</v>
      </c>
      <c r="H463" t="b">
        <v>1</v>
      </c>
      <c r="I463">
        <v>1</v>
      </c>
      <c r="J463" t="s">
        <v>194</v>
      </c>
      <c r="K463" s="40" t="b">
        <v>0</v>
      </c>
      <c r="L463" t="s">
        <v>207</v>
      </c>
      <c r="P463">
        <v>9</v>
      </c>
    </row>
    <row r="464" spans="1:16" x14ac:dyDescent="0.3">
      <c r="A464" t="s">
        <v>69</v>
      </c>
      <c r="B464" s="57" t="s">
        <v>70</v>
      </c>
      <c r="C464">
        <v>2025</v>
      </c>
      <c r="D464" t="s">
        <v>54</v>
      </c>
      <c r="E464" t="s">
        <v>211</v>
      </c>
      <c r="F464">
        <v>99</v>
      </c>
      <c r="G464" t="s">
        <v>193</v>
      </c>
      <c r="H464" t="b">
        <v>1</v>
      </c>
      <c r="I464">
        <v>1</v>
      </c>
      <c r="J464" t="s">
        <v>194</v>
      </c>
      <c r="K464" s="40" t="b">
        <v>0</v>
      </c>
      <c r="L464" t="s">
        <v>207</v>
      </c>
      <c r="P464">
        <v>10</v>
      </c>
    </row>
    <row r="465" spans="1:16" x14ac:dyDescent="0.3">
      <c r="A465" t="s">
        <v>69</v>
      </c>
      <c r="B465" s="57" t="s">
        <v>70</v>
      </c>
      <c r="C465">
        <v>2025</v>
      </c>
      <c r="D465" t="s">
        <v>55</v>
      </c>
      <c r="E465" t="s">
        <v>211</v>
      </c>
      <c r="F465">
        <v>98</v>
      </c>
      <c r="G465" t="s">
        <v>193</v>
      </c>
      <c r="H465" t="b">
        <v>1</v>
      </c>
      <c r="I465">
        <v>1</v>
      </c>
      <c r="J465" t="s">
        <v>194</v>
      </c>
      <c r="K465" s="40" t="b">
        <v>0</v>
      </c>
      <c r="L465" t="s">
        <v>207</v>
      </c>
      <c r="P465">
        <v>11</v>
      </c>
    </row>
    <row r="466" spans="1:16" x14ac:dyDescent="0.3">
      <c r="A466" t="s">
        <v>69</v>
      </c>
      <c r="B466" s="57" t="s">
        <v>70</v>
      </c>
      <c r="C466">
        <v>2025</v>
      </c>
      <c r="D466" t="s">
        <v>56</v>
      </c>
      <c r="E466" t="s">
        <v>211</v>
      </c>
      <c r="F466">
        <v>28</v>
      </c>
      <c r="G466" t="s">
        <v>193</v>
      </c>
      <c r="H466" t="b">
        <v>1</v>
      </c>
      <c r="I466">
        <v>1</v>
      </c>
      <c r="J466" t="s">
        <v>194</v>
      </c>
      <c r="K466" s="40" t="b">
        <v>0</v>
      </c>
      <c r="L466" t="s">
        <v>207</v>
      </c>
      <c r="P466">
        <v>12</v>
      </c>
    </row>
    <row r="467" spans="1:16" x14ac:dyDescent="0.3">
      <c r="B467" s="57"/>
      <c r="K467" s="40"/>
    </row>
    <row r="468" spans="1:16" x14ac:dyDescent="0.3">
      <c r="A468" t="s">
        <v>69</v>
      </c>
      <c r="B468" s="57" t="s">
        <v>70</v>
      </c>
      <c r="C468">
        <v>2025</v>
      </c>
      <c r="D468" t="s">
        <v>2</v>
      </c>
      <c r="E468" t="s">
        <v>212</v>
      </c>
      <c r="F468">
        <v>77</v>
      </c>
      <c r="G468" t="s">
        <v>193</v>
      </c>
      <c r="H468" t="b">
        <v>1</v>
      </c>
      <c r="I468">
        <v>1</v>
      </c>
      <c r="J468" t="s">
        <v>194</v>
      </c>
      <c r="K468" s="40" t="b">
        <v>0</v>
      </c>
      <c r="L468" t="s">
        <v>213</v>
      </c>
      <c r="P468">
        <v>1</v>
      </c>
    </row>
    <row r="469" spans="1:16" x14ac:dyDescent="0.3">
      <c r="A469" t="s">
        <v>69</v>
      </c>
      <c r="B469" s="57" t="s">
        <v>70</v>
      </c>
      <c r="C469">
        <v>2025</v>
      </c>
      <c r="D469" t="s">
        <v>46</v>
      </c>
      <c r="E469" t="s">
        <v>212</v>
      </c>
      <c r="F469">
        <v>29</v>
      </c>
      <c r="G469" t="s">
        <v>193</v>
      </c>
      <c r="H469" t="b">
        <v>1</v>
      </c>
      <c r="I469">
        <v>1</v>
      </c>
      <c r="J469" t="s">
        <v>194</v>
      </c>
      <c r="K469" s="40" t="b">
        <v>0</v>
      </c>
      <c r="L469" t="s">
        <v>213</v>
      </c>
      <c r="P469">
        <v>2</v>
      </c>
    </row>
    <row r="470" spans="1:16" x14ac:dyDescent="0.3">
      <c r="A470" t="s">
        <v>69</v>
      </c>
      <c r="B470" s="57" t="s">
        <v>70</v>
      </c>
      <c r="C470">
        <v>2025</v>
      </c>
      <c r="D470" t="s">
        <v>47</v>
      </c>
      <c r="E470" t="s">
        <v>212</v>
      </c>
      <c r="F470">
        <v>60</v>
      </c>
      <c r="G470" t="s">
        <v>193</v>
      </c>
      <c r="H470" t="b">
        <v>1</v>
      </c>
      <c r="I470">
        <v>1</v>
      </c>
      <c r="J470" t="s">
        <v>194</v>
      </c>
      <c r="K470" s="40" t="b">
        <v>0</v>
      </c>
      <c r="L470" t="s">
        <v>213</v>
      </c>
      <c r="P470">
        <v>3</v>
      </c>
    </row>
    <row r="471" spans="1:16" x14ac:dyDescent="0.3">
      <c r="A471" t="s">
        <v>69</v>
      </c>
      <c r="B471" s="57" t="s">
        <v>70</v>
      </c>
      <c r="C471">
        <v>2025</v>
      </c>
      <c r="D471" t="s">
        <v>48</v>
      </c>
      <c r="E471" t="s">
        <v>212</v>
      </c>
      <c r="F471">
        <v>82</v>
      </c>
      <c r="G471" t="s">
        <v>193</v>
      </c>
      <c r="H471" t="b">
        <v>1</v>
      </c>
      <c r="I471">
        <v>1</v>
      </c>
      <c r="J471" t="s">
        <v>194</v>
      </c>
      <c r="K471" s="40" t="b">
        <v>0</v>
      </c>
      <c r="L471" t="s">
        <v>213</v>
      </c>
      <c r="P471">
        <v>4</v>
      </c>
    </row>
    <row r="472" spans="1:16" x14ac:dyDescent="0.3">
      <c r="A472" t="s">
        <v>69</v>
      </c>
      <c r="B472" s="57" t="s">
        <v>70</v>
      </c>
      <c r="C472">
        <v>2025</v>
      </c>
      <c r="D472" t="s">
        <v>49</v>
      </c>
      <c r="E472" t="s">
        <v>212</v>
      </c>
      <c r="F472">
        <v>64</v>
      </c>
      <c r="G472" t="s">
        <v>193</v>
      </c>
      <c r="H472" t="b">
        <v>1</v>
      </c>
      <c r="I472">
        <v>1</v>
      </c>
      <c r="J472" t="s">
        <v>194</v>
      </c>
      <c r="K472" s="40" t="b">
        <v>0</v>
      </c>
      <c r="L472" t="s">
        <v>213</v>
      </c>
      <c r="P472">
        <v>5</v>
      </c>
    </row>
    <row r="473" spans="1:16" x14ac:dyDescent="0.3">
      <c r="A473" t="s">
        <v>69</v>
      </c>
      <c r="B473" s="57" t="s">
        <v>70</v>
      </c>
      <c r="C473">
        <v>2025</v>
      </c>
      <c r="D473" t="s">
        <v>50</v>
      </c>
      <c r="E473" t="s">
        <v>212</v>
      </c>
      <c r="F473">
        <v>120</v>
      </c>
      <c r="G473" t="s">
        <v>193</v>
      </c>
      <c r="H473" t="b">
        <v>1</v>
      </c>
      <c r="I473">
        <v>1</v>
      </c>
      <c r="J473" t="s">
        <v>194</v>
      </c>
      <c r="K473" s="40" t="b">
        <v>0</v>
      </c>
      <c r="L473" t="s">
        <v>205</v>
      </c>
      <c r="P473">
        <v>6</v>
      </c>
    </row>
    <row r="474" spans="1:16" x14ac:dyDescent="0.3">
      <c r="A474" t="s">
        <v>69</v>
      </c>
      <c r="B474" s="57" t="s">
        <v>70</v>
      </c>
      <c r="C474">
        <v>2025</v>
      </c>
      <c r="D474" t="s">
        <v>51</v>
      </c>
      <c r="E474" t="s">
        <v>212</v>
      </c>
      <c r="F474">
        <v>114</v>
      </c>
      <c r="G474" t="s">
        <v>193</v>
      </c>
      <c r="H474" t="b">
        <v>1</v>
      </c>
      <c r="I474">
        <v>1</v>
      </c>
      <c r="J474" t="s">
        <v>194</v>
      </c>
      <c r="K474" s="40" t="b">
        <v>0</v>
      </c>
      <c r="L474" t="s">
        <v>213</v>
      </c>
      <c r="P474">
        <v>7</v>
      </c>
    </row>
    <row r="475" spans="1:16" x14ac:dyDescent="0.3">
      <c r="A475" t="s">
        <v>69</v>
      </c>
      <c r="B475" s="57" t="s">
        <v>70</v>
      </c>
      <c r="C475">
        <v>2025</v>
      </c>
      <c r="D475" t="s">
        <v>52</v>
      </c>
      <c r="E475" t="s">
        <v>212</v>
      </c>
      <c r="F475">
        <v>50</v>
      </c>
      <c r="G475" t="s">
        <v>193</v>
      </c>
      <c r="H475" t="b">
        <v>1</v>
      </c>
      <c r="I475">
        <v>1</v>
      </c>
      <c r="J475" t="s">
        <v>194</v>
      </c>
      <c r="K475" s="40" t="b">
        <v>0</v>
      </c>
      <c r="L475" t="s">
        <v>213</v>
      </c>
      <c r="P475">
        <v>8</v>
      </c>
    </row>
    <row r="476" spans="1:16" x14ac:dyDescent="0.3">
      <c r="A476" t="s">
        <v>69</v>
      </c>
      <c r="B476" s="57" t="s">
        <v>70</v>
      </c>
      <c r="C476">
        <v>2025</v>
      </c>
      <c r="D476" t="s">
        <v>53</v>
      </c>
      <c r="E476" t="s">
        <v>212</v>
      </c>
      <c r="F476">
        <v>84</v>
      </c>
      <c r="G476" t="s">
        <v>193</v>
      </c>
      <c r="H476" t="b">
        <v>1</v>
      </c>
      <c r="I476">
        <v>1</v>
      </c>
      <c r="J476" t="s">
        <v>194</v>
      </c>
      <c r="K476" s="40" t="b">
        <v>0</v>
      </c>
      <c r="L476" t="s">
        <v>213</v>
      </c>
      <c r="P476">
        <v>9</v>
      </c>
    </row>
    <row r="477" spans="1:16" x14ac:dyDescent="0.3">
      <c r="A477" t="s">
        <v>69</v>
      </c>
      <c r="B477" s="57" t="s">
        <v>70</v>
      </c>
      <c r="C477">
        <v>2025</v>
      </c>
      <c r="D477" t="s">
        <v>54</v>
      </c>
      <c r="E477" t="s">
        <v>212</v>
      </c>
      <c r="F477">
        <v>54</v>
      </c>
      <c r="G477" t="s">
        <v>193</v>
      </c>
      <c r="H477" t="b">
        <v>1</v>
      </c>
      <c r="I477">
        <v>1</v>
      </c>
      <c r="J477" t="s">
        <v>194</v>
      </c>
      <c r="K477" s="40" t="b">
        <v>0</v>
      </c>
      <c r="L477" t="s">
        <v>213</v>
      </c>
      <c r="P477">
        <v>10</v>
      </c>
    </row>
    <row r="478" spans="1:16" x14ac:dyDescent="0.3">
      <c r="A478" t="s">
        <v>69</v>
      </c>
      <c r="B478" s="57" t="s">
        <v>70</v>
      </c>
      <c r="C478">
        <v>2025</v>
      </c>
      <c r="D478" t="s">
        <v>55</v>
      </c>
      <c r="E478" t="s">
        <v>212</v>
      </c>
      <c r="F478">
        <v>92</v>
      </c>
      <c r="G478" t="s">
        <v>193</v>
      </c>
      <c r="H478" t="b">
        <v>1</v>
      </c>
      <c r="I478">
        <v>1</v>
      </c>
      <c r="J478" t="s">
        <v>194</v>
      </c>
      <c r="K478" s="40" t="b">
        <v>0</v>
      </c>
      <c r="L478" t="s">
        <v>213</v>
      </c>
      <c r="P478">
        <v>11</v>
      </c>
    </row>
    <row r="479" spans="1:16" x14ac:dyDescent="0.3">
      <c r="A479" t="s">
        <v>69</v>
      </c>
      <c r="B479" s="57" t="s">
        <v>70</v>
      </c>
      <c r="C479">
        <v>2025</v>
      </c>
      <c r="D479" t="s">
        <v>56</v>
      </c>
      <c r="E479" t="s">
        <v>212</v>
      </c>
      <c r="F479">
        <v>35</v>
      </c>
      <c r="G479" t="s">
        <v>193</v>
      </c>
      <c r="H479" t="b">
        <v>1</v>
      </c>
      <c r="I479">
        <v>1</v>
      </c>
      <c r="J479" t="s">
        <v>194</v>
      </c>
      <c r="K479" s="40" t="b">
        <v>0</v>
      </c>
      <c r="L479" t="s">
        <v>213</v>
      </c>
      <c r="P479">
        <v>12</v>
      </c>
    </row>
    <row r="480" spans="1:16" x14ac:dyDescent="0.3">
      <c r="B480" s="57"/>
      <c r="K480" s="40"/>
    </row>
    <row r="481" spans="1:16" x14ac:dyDescent="0.3">
      <c r="A481" t="s">
        <v>69</v>
      </c>
      <c r="B481" s="57" t="s">
        <v>70</v>
      </c>
      <c r="C481">
        <v>2025</v>
      </c>
      <c r="D481" t="s">
        <v>2</v>
      </c>
      <c r="E481" t="s">
        <v>214</v>
      </c>
      <c r="F481">
        <v>27</v>
      </c>
      <c r="G481" t="s">
        <v>193</v>
      </c>
      <c r="H481" t="b">
        <v>1</v>
      </c>
      <c r="I481">
        <v>1</v>
      </c>
      <c r="J481" t="s">
        <v>194</v>
      </c>
      <c r="K481" s="40" t="b">
        <v>0</v>
      </c>
      <c r="L481" t="s">
        <v>203</v>
      </c>
      <c r="P481">
        <v>1</v>
      </c>
    </row>
    <row r="482" spans="1:16" x14ac:dyDescent="0.3">
      <c r="A482" t="s">
        <v>69</v>
      </c>
      <c r="B482" s="57" t="s">
        <v>70</v>
      </c>
      <c r="C482">
        <v>2025</v>
      </c>
      <c r="D482" t="s">
        <v>46</v>
      </c>
      <c r="E482" t="s">
        <v>214</v>
      </c>
      <c r="F482">
        <v>35</v>
      </c>
      <c r="G482" t="s">
        <v>193</v>
      </c>
      <c r="H482" t="b">
        <v>1</v>
      </c>
      <c r="I482">
        <v>1</v>
      </c>
      <c r="J482" t="s">
        <v>194</v>
      </c>
      <c r="K482" s="40" t="b">
        <v>0</v>
      </c>
      <c r="L482" t="s">
        <v>203</v>
      </c>
      <c r="P482">
        <v>2</v>
      </c>
    </row>
    <row r="483" spans="1:16" x14ac:dyDescent="0.3">
      <c r="A483" t="s">
        <v>69</v>
      </c>
      <c r="B483" s="57" t="s">
        <v>70</v>
      </c>
      <c r="C483">
        <v>2025</v>
      </c>
      <c r="D483" t="s">
        <v>47</v>
      </c>
      <c r="E483" t="s">
        <v>214</v>
      </c>
      <c r="F483">
        <v>32</v>
      </c>
      <c r="G483" t="s">
        <v>193</v>
      </c>
      <c r="H483" t="b">
        <v>1</v>
      </c>
      <c r="I483">
        <v>1</v>
      </c>
      <c r="J483" t="s">
        <v>194</v>
      </c>
      <c r="K483" s="40" t="b">
        <v>0</v>
      </c>
      <c r="L483" t="s">
        <v>203</v>
      </c>
      <c r="P483">
        <v>3</v>
      </c>
    </row>
    <row r="484" spans="1:16" x14ac:dyDescent="0.3">
      <c r="A484" t="s">
        <v>69</v>
      </c>
      <c r="B484" s="57" t="s">
        <v>70</v>
      </c>
      <c r="C484">
        <v>2025</v>
      </c>
      <c r="D484" t="s">
        <v>48</v>
      </c>
      <c r="E484" t="s">
        <v>214</v>
      </c>
      <c r="F484">
        <v>50</v>
      </c>
      <c r="G484" t="s">
        <v>193</v>
      </c>
      <c r="H484" t="b">
        <v>1</v>
      </c>
      <c r="I484">
        <v>1</v>
      </c>
      <c r="J484" t="s">
        <v>194</v>
      </c>
      <c r="K484" s="40" t="b">
        <v>0</v>
      </c>
      <c r="L484" t="s">
        <v>203</v>
      </c>
      <c r="P484">
        <v>4</v>
      </c>
    </row>
    <row r="485" spans="1:16" x14ac:dyDescent="0.3">
      <c r="A485" t="s">
        <v>69</v>
      </c>
      <c r="B485" s="57" t="s">
        <v>70</v>
      </c>
      <c r="C485">
        <v>2025</v>
      </c>
      <c r="D485" t="s">
        <v>49</v>
      </c>
      <c r="E485" t="s">
        <v>214</v>
      </c>
      <c r="F485">
        <v>26</v>
      </c>
      <c r="G485" t="s">
        <v>193</v>
      </c>
      <c r="H485" t="b">
        <v>1</v>
      </c>
      <c r="I485">
        <v>1</v>
      </c>
      <c r="J485" t="s">
        <v>194</v>
      </c>
      <c r="K485" s="40" t="b">
        <v>0</v>
      </c>
      <c r="L485" t="s">
        <v>203</v>
      </c>
      <c r="P485">
        <v>5</v>
      </c>
    </row>
    <row r="486" spans="1:16" x14ac:dyDescent="0.3">
      <c r="A486" t="s">
        <v>69</v>
      </c>
      <c r="B486" s="57" t="s">
        <v>70</v>
      </c>
      <c r="C486">
        <v>2025</v>
      </c>
      <c r="D486" t="s">
        <v>50</v>
      </c>
      <c r="E486" t="s">
        <v>214</v>
      </c>
      <c r="F486">
        <v>35</v>
      </c>
      <c r="G486" t="s">
        <v>193</v>
      </c>
      <c r="H486" t="b">
        <v>1</v>
      </c>
      <c r="I486">
        <v>1</v>
      </c>
      <c r="J486" t="s">
        <v>194</v>
      </c>
      <c r="K486" s="40" t="b">
        <v>0</v>
      </c>
      <c r="L486" t="s">
        <v>203</v>
      </c>
      <c r="P486">
        <v>6</v>
      </c>
    </row>
    <row r="487" spans="1:16" x14ac:dyDescent="0.3">
      <c r="A487" t="s">
        <v>69</v>
      </c>
      <c r="B487" s="57" t="s">
        <v>70</v>
      </c>
      <c r="C487">
        <v>2025</v>
      </c>
      <c r="D487" t="s">
        <v>51</v>
      </c>
      <c r="E487" t="s">
        <v>214</v>
      </c>
      <c r="F487">
        <v>34</v>
      </c>
      <c r="G487" t="s">
        <v>193</v>
      </c>
      <c r="H487" t="b">
        <v>1</v>
      </c>
      <c r="I487">
        <v>1</v>
      </c>
      <c r="J487" t="s">
        <v>194</v>
      </c>
      <c r="K487" s="40" t="b">
        <v>0</v>
      </c>
      <c r="L487" t="s">
        <v>203</v>
      </c>
      <c r="P487">
        <v>7</v>
      </c>
    </row>
    <row r="488" spans="1:16" x14ac:dyDescent="0.3">
      <c r="A488" t="s">
        <v>69</v>
      </c>
      <c r="B488" s="57" t="s">
        <v>70</v>
      </c>
      <c r="C488">
        <v>2025</v>
      </c>
      <c r="D488" t="s">
        <v>52</v>
      </c>
      <c r="E488" t="s">
        <v>214</v>
      </c>
      <c r="F488">
        <v>48</v>
      </c>
      <c r="G488" t="s">
        <v>193</v>
      </c>
      <c r="H488" t="b">
        <v>1</v>
      </c>
      <c r="I488">
        <v>1</v>
      </c>
      <c r="J488" t="s">
        <v>194</v>
      </c>
      <c r="K488" s="40" t="b">
        <v>0</v>
      </c>
      <c r="L488" t="s">
        <v>203</v>
      </c>
      <c r="P488">
        <v>8</v>
      </c>
    </row>
    <row r="489" spans="1:16" x14ac:dyDescent="0.3">
      <c r="A489" t="s">
        <v>69</v>
      </c>
      <c r="B489" s="57" t="s">
        <v>70</v>
      </c>
      <c r="C489">
        <v>2025</v>
      </c>
      <c r="D489" t="s">
        <v>53</v>
      </c>
      <c r="E489" t="s">
        <v>214</v>
      </c>
      <c r="F489">
        <v>34</v>
      </c>
      <c r="G489" t="s">
        <v>193</v>
      </c>
      <c r="H489" t="b">
        <v>1</v>
      </c>
      <c r="I489">
        <v>1</v>
      </c>
      <c r="J489" t="s">
        <v>194</v>
      </c>
      <c r="K489" s="40" t="b">
        <v>0</v>
      </c>
      <c r="L489" t="s">
        <v>203</v>
      </c>
      <c r="P489">
        <v>9</v>
      </c>
    </row>
    <row r="490" spans="1:16" x14ac:dyDescent="0.3">
      <c r="A490" t="s">
        <v>69</v>
      </c>
      <c r="B490" s="57" t="s">
        <v>70</v>
      </c>
      <c r="C490">
        <v>2025</v>
      </c>
      <c r="D490" t="s">
        <v>54</v>
      </c>
      <c r="E490" t="s">
        <v>214</v>
      </c>
      <c r="F490">
        <v>43</v>
      </c>
      <c r="G490" t="s">
        <v>193</v>
      </c>
      <c r="H490" t="b">
        <v>1</v>
      </c>
      <c r="I490">
        <v>1</v>
      </c>
      <c r="J490" t="s">
        <v>194</v>
      </c>
      <c r="K490" s="40" t="b">
        <v>0</v>
      </c>
      <c r="L490" t="s">
        <v>203</v>
      </c>
      <c r="P490">
        <v>10</v>
      </c>
    </row>
    <row r="491" spans="1:16" x14ac:dyDescent="0.3">
      <c r="A491" t="s">
        <v>69</v>
      </c>
      <c r="B491" s="57" t="s">
        <v>70</v>
      </c>
      <c r="C491">
        <v>2025</v>
      </c>
      <c r="D491" t="s">
        <v>55</v>
      </c>
      <c r="E491" t="s">
        <v>214</v>
      </c>
      <c r="F491">
        <v>25</v>
      </c>
      <c r="G491" t="s">
        <v>193</v>
      </c>
      <c r="H491" t="b">
        <v>1</v>
      </c>
      <c r="I491">
        <v>1</v>
      </c>
      <c r="J491" t="s">
        <v>194</v>
      </c>
      <c r="K491" s="40" t="b">
        <v>0</v>
      </c>
      <c r="L491" t="s">
        <v>203</v>
      </c>
      <c r="P491">
        <v>11</v>
      </c>
    </row>
    <row r="492" spans="1:16" x14ac:dyDescent="0.3">
      <c r="A492" t="s">
        <v>69</v>
      </c>
      <c r="B492" s="57" t="s">
        <v>70</v>
      </c>
      <c r="C492">
        <v>2025</v>
      </c>
      <c r="D492" t="s">
        <v>56</v>
      </c>
      <c r="E492" t="s">
        <v>214</v>
      </c>
      <c r="F492">
        <v>31</v>
      </c>
      <c r="G492" t="s">
        <v>193</v>
      </c>
      <c r="H492" t="b">
        <v>1</v>
      </c>
      <c r="I492">
        <v>1</v>
      </c>
      <c r="J492" t="s">
        <v>194</v>
      </c>
      <c r="K492" s="40" t="b">
        <v>0</v>
      </c>
      <c r="L492" t="s">
        <v>203</v>
      </c>
      <c r="P49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S1 - Office</vt:lpstr>
      <vt:lpstr>M1 - Manufacturing</vt:lpstr>
      <vt:lpstr>RDW1 - RDW</vt:lpstr>
      <vt:lpstr>Vehicular</vt:lpstr>
      <vt:lpstr>Fugitive</vt:lpstr>
      <vt:lpstr>Scope 1 </vt:lpstr>
      <vt:lpstr>Waste - Hazardous</vt:lpstr>
      <vt:lpstr>Waste - Non Hazardous</vt:lpstr>
      <vt:lpstr>Overall Waste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Yatin Sai Yedla</cp:lastModifiedBy>
  <dcterms:created xsi:type="dcterms:W3CDTF">2015-06-05T18:17:20Z</dcterms:created>
  <dcterms:modified xsi:type="dcterms:W3CDTF">2026-03-07T07:09:20Z</dcterms:modified>
</cp:coreProperties>
</file>